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olomigliore/Desktop/TESI/modellimatematici/pbuts_model/"/>
    </mc:Choice>
  </mc:AlternateContent>
  <xr:revisionPtr revIDLastSave="0" documentId="13_ncr:1_{4D8A8EBB-FFB4-0C43-927A-7BA33C898B00}" xr6:coauthVersionLast="47" xr6:coauthVersionMax="47" xr10:uidLastSave="{00000000-0000-0000-0000-000000000000}"/>
  <bookViews>
    <workbookView xWindow="420" yWindow="3720" windowWidth="27640" windowHeight="15900" xr2:uid="{CF482A3A-A6C9-7543-8FFF-AFCD51ED14B2}"/>
  </bookViews>
  <sheets>
    <sheet name="Foglio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M10" i="1" s="1"/>
  <c r="J11" i="1"/>
  <c r="J12" i="1"/>
  <c r="J13" i="1"/>
  <c r="J14" i="1"/>
  <c r="J15" i="1"/>
  <c r="J16" i="1"/>
  <c r="J17" i="1"/>
  <c r="J18" i="1"/>
  <c r="J19" i="1"/>
  <c r="J20" i="1"/>
  <c r="M20" i="1" s="1"/>
  <c r="J21" i="1"/>
  <c r="M21" i="1" s="1"/>
  <c r="J2" i="1"/>
  <c r="M2" i="1" s="1"/>
  <c r="O21" i="1"/>
  <c r="L21" i="1"/>
  <c r="H21" i="1"/>
  <c r="B21" i="1"/>
  <c r="C21" i="1" s="1"/>
  <c r="O20" i="1"/>
  <c r="N20" i="1"/>
  <c r="L20" i="1"/>
  <c r="H20" i="1"/>
  <c r="C20" i="1"/>
  <c r="O19" i="1"/>
  <c r="L19" i="1"/>
  <c r="M19" i="1"/>
  <c r="H19" i="1"/>
  <c r="B19" i="1"/>
  <c r="C19" i="1" s="1"/>
  <c r="O18" i="1"/>
  <c r="N18" i="1"/>
  <c r="L18" i="1"/>
  <c r="M18" i="1"/>
  <c r="H18" i="1"/>
  <c r="C18" i="1"/>
  <c r="O17" i="1"/>
  <c r="N17" i="1"/>
  <c r="L17" i="1"/>
  <c r="M17" i="1"/>
  <c r="H17" i="1"/>
  <c r="B17" i="1"/>
  <c r="C17" i="1" s="1"/>
  <c r="O16" i="1"/>
  <c r="N16" i="1"/>
  <c r="L16" i="1"/>
  <c r="M16" i="1"/>
  <c r="H16" i="1"/>
  <c r="B16" i="1"/>
  <c r="C16" i="1" s="1"/>
  <c r="O15" i="1"/>
  <c r="N15" i="1"/>
  <c r="L15" i="1"/>
  <c r="M15" i="1"/>
  <c r="H15" i="1"/>
  <c r="B15" i="1"/>
  <c r="C15" i="1" s="1"/>
  <c r="O14" i="1"/>
  <c r="N14" i="1"/>
  <c r="M14" i="1"/>
  <c r="L14" i="1"/>
  <c r="H14" i="1"/>
  <c r="O13" i="1"/>
  <c r="N13" i="1"/>
  <c r="L13" i="1"/>
  <c r="M13" i="1"/>
  <c r="H13" i="1"/>
  <c r="B13" i="1"/>
  <c r="C13" i="1" s="1"/>
  <c r="O12" i="1"/>
  <c r="N12" i="1"/>
  <c r="L12" i="1"/>
  <c r="M12" i="1"/>
  <c r="H12" i="1"/>
  <c r="B12" i="1"/>
  <c r="C12" i="1" s="1"/>
  <c r="O11" i="1"/>
  <c r="N11" i="1"/>
  <c r="L11" i="1"/>
  <c r="M11" i="1"/>
  <c r="H11" i="1"/>
  <c r="B11" i="1"/>
  <c r="C11" i="1" s="1"/>
  <c r="O10" i="1"/>
  <c r="N10" i="1"/>
  <c r="L10" i="1"/>
  <c r="H10" i="1"/>
  <c r="B10" i="1"/>
  <c r="C10" i="1" s="1"/>
  <c r="O9" i="1"/>
  <c r="N9" i="1"/>
  <c r="L9" i="1"/>
  <c r="M9" i="1"/>
  <c r="H9" i="1"/>
  <c r="B9" i="1"/>
  <c r="C9" i="1" s="1"/>
  <c r="O8" i="1"/>
  <c r="N8" i="1"/>
  <c r="L8" i="1"/>
  <c r="M8" i="1"/>
  <c r="H8" i="1"/>
  <c r="B8" i="1"/>
  <c r="C8" i="1" s="1"/>
  <c r="O7" i="1"/>
  <c r="N7" i="1"/>
  <c r="L7" i="1"/>
  <c r="M7" i="1"/>
  <c r="H7" i="1"/>
  <c r="B7" i="1"/>
  <c r="C7" i="1" s="1"/>
  <c r="O6" i="1"/>
  <c r="N6" i="1"/>
  <c r="L6" i="1"/>
  <c r="M6" i="1"/>
  <c r="H6" i="1"/>
  <c r="C6" i="1"/>
  <c r="B6" i="1"/>
  <c r="O5" i="1"/>
  <c r="N5" i="1"/>
  <c r="L5" i="1"/>
  <c r="M5" i="1"/>
  <c r="H5" i="1"/>
  <c r="C5" i="1"/>
  <c r="B5" i="1"/>
  <c r="O4" i="1"/>
  <c r="N4" i="1"/>
  <c r="L4" i="1"/>
  <c r="M4" i="1"/>
  <c r="H4" i="1"/>
  <c r="C4" i="1"/>
  <c r="B4" i="1"/>
  <c r="O3" i="1"/>
  <c r="N3" i="1"/>
  <c r="L3" i="1"/>
  <c r="M3" i="1"/>
  <c r="H3" i="1"/>
  <c r="D3" i="1"/>
  <c r="C3" i="1"/>
  <c r="B3" i="1"/>
  <c r="O2" i="1"/>
  <c r="N2" i="1"/>
  <c r="L2" i="1"/>
  <c r="H2" i="1"/>
  <c r="C2" i="1"/>
  <c r="B2" i="1"/>
</calcChain>
</file>

<file path=xl/sharedStrings.xml><?xml version="1.0" encoding="utf-8"?>
<sst xmlns="http://schemas.openxmlformats.org/spreadsheetml/2006/main" count="59" uniqueCount="41">
  <si>
    <t>ID_Paziente</t>
  </si>
  <si>
    <t>Vpl0</t>
  </si>
  <si>
    <t>Vis0</t>
  </si>
  <si>
    <t>Vic</t>
  </si>
  <si>
    <t>Qp</t>
  </si>
  <si>
    <t>Quf</t>
  </si>
  <si>
    <t>Qd</t>
  </si>
  <si>
    <t>Qr</t>
  </si>
  <si>
    <t>Tpl0</t>
  </si>
  <si>
    <t>PTpl0</t>
  </si>
  <si>
    <t>Ppl0</t>
  </si>
  <si>
    <t>Tis0</t>
  </si>
  <si>
    <t>PTis0</t>
  </si>
  <si>
    <t>Pis0</t>
  </si>
  <si>
    <t>Tic0</t>
  </si>
  <si>
    <t>Modello_Filtro</t>
  </si>
  <si>
    <t>Calo Peso(mL)</t>
  </si>
  <si>
    <t>Tempo di dialisi</t>
  </si>
  <si>
    <t>M01</t>
  </si>
  <si>
    <t>Solacea21H</t>
  </si>
  <si>
    <t>M02</t>
  </si>
  <si>
    <t>M03</t>
  </si>
  <si>
    <t>M04</t>
  </si>
  <si>
    <t>M05</t>
  </si>
  <si>
    <t>Fx100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</si>
  <si>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</si>
  <si>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</si>
  <si>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</si>
  <si>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</si>
  <si>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</si>
  <si>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</si>
  <si>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</si>
  <si>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</si>
  <si>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</si>
  <si>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M16</t>
  </si>
  <si>
    <t>M17</t>
  </si>
  <si>
    <t>M18</t>
  </si>
  <si>
    <t>M19</t>
  </si>
  <si>
    <t>M20</t>
  </si>
  <si>
    <t>M21</t>
  </si>
  <si>
    <t>Tpl_tot [pCS]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</si>
</sst>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3" fontId="0" fillId="0" borderId="0" xfId="0" applyNumberFormat="1"/>
    <xf numFmtId="164" fontId="0" fillId="0" borderId="0" xfId="0" applyNumberFormat="1" applyAlignment="1">
      <alignment horizontal="center"/>
    </xf>
    <xf numFmtId="164" fontId="0" fillId="0" borderId="0" xfId="0" applyNumberFormat="1"/>
    <xf numFmtId="2" fontId="0" fillId="0" borderId="0" xfId="0" applyNumberFormat="1"/>
  </cellXfs>
  <cellStyles count="2">
    <cellStyle name="Normale" xfId="0" builtinId="0"/>
    <cellStyle name="Normale 2" xfId="1" xr:uid="{3D5CB792-3A77-A145-8DF2-B5E3C958C0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FB8E8-8660-8A46-84AD-DD5EF0BA126E}">
  <dimension ref="A1:U21"/>
  <sheetViews>
    <sheetView tabSelected="1" workbookViewId="0">
      <selection activeCell="N5" sqref="N5"/>
    </sheetView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16</v>
      </c>
      <c r="S1" t="s">
        <v>17</v>
      </c>
      <c r="U1" t="s">
        <v>40</v>
      </c>
    </row>
    <row r="2" spans="1:21" x14ac:dyDescent="0.2">
      <c r="A2" t="s">
        <v>18</v>
      </c>
      <c r="B2">
        <f>19.8*0.25</f>
        <v>4.95</v>
      </c>
      <c r="C2">
        <f>19.8-B2</f>
        <v>14.850000000000001</v>
      </c>
      <c r="D2">
        <v>18.7</v>
      </c>
      <c r="E2">
        <v>297</v>
      </c>
      <c r="F2" s="1">
        <v>114.21777779999999</v>
      </c>
      <c r="G2">
        <v>500</v>
      </c>
      <c r="H2">
        <f>E2-(R2*1000/S2)</f>
        <v>285.44888888888886</v>
      </c>
      <c r="I2">
        <v>1.46</v>
      </c>
      <c r="J2" s="2">
        <f>U2-I2</f>
        <v>20.934999999999999</v>
      </c>
      <c r="K2">
        <v>3.1</v>
      </c>
      <c r="L2" s="3">
        <f t="shared" ref="L2:L21" si="0">I2</f>
        <v>1.46</v>
      </c>
      <c r="M2">
        <f t="shared" ref="M2:N17" si="1">J2/2</f>
        <v>10.467499999999999</v>
      </c>
      <c r="N2">
        <f t="shared" si="1"/>
        <v>1.55</v>
      </c>
      <c r="O2" s="3">
        <f t="shared" ref="O2:O21" si="2">I2</f>
        <v>1.46</v>
      </c>
      <c r="P2" t="s">
        <v>19</v>
      </c>
      <c r="R2" s="1">
        <v>2.5990000000000002</v>
      </c>
      <c r="S2">
        <v>225</v>
      </c>
      <c r="U2" s="1">
        <v>22.395</v>
      </c>
    </row>
    <row r="3" spans="1:21" x14ac:dyDescent="0.2">
      <c r="A3" t="s">
        <v>20</v>
      </c>
      <c r="B3">
        <f>18.5*0.25</f>
        <v>4.625</v>
      </c>
      <c r="C3">
        <f>18.5-B3</f>
        <v>13.875</v>
      </c>
      <c r="D3">
        <f>21.8</f>
        <v>21.8</v>
      </c>
      <c r="E3">
        <v>317</v>
      </c>
      <c r="F3" s="1">
        <v>113.8723404</v>
      </c>
      <c r="G3">
        <v>500</v>
      </c>
      <c r="H3">
        <f t="shared" ref="H3:H21" si="3">E3-(R3*1000/S3)</f>
        <v>305.25531914893617</v>
      </c>
      <c r="I3">
        <v>1.44</v>
      </c>
      <c r="J3" s="2">
        <f t="shared" ref="J3:J21" si="4">U3-I3</f>
        <v>21.161999999999999</v>
      </c>
      <c r="K3">
        <v>3.6</v>
      </c>
      <c r="L3" s="3">
        <f t="shared" si="0"/>
        <v>1.44</v>
      </c>
      <c r="M3">
        <f t="shared" si="1"/>
        <v>10.581</v>
      </c>
      <c r="N3">
        <f t="shared" si="1"/>
        <v>1.8</v>
      </c>
      <c r="O3" s="3">
        <f t="shared" si="2"/>
        <v>1.44</v>
      </c>
      <c r="P3" t="s">
        <v>19</v>
      </c>
      <c r="R3">
        <v>2.76</v>
      </c>
      <c r="S3">
        <v>235</v>
      </c>
      <c r="U3" s="1">
        <v>22.602</v>
      </c>
    </row>
    <row r="4" spans="1:21" x14ac:dyDescent="0.2">
      <c r="A4" t="s">
        <v>21</v>
      </c>
      <c r="B4">
        <f>19.5*0.25</f>
        <v>4.875</v>
      </c>
      <c r="C4">
        <f>19.5-B4</f>
        <v>14.625</v>
      </c>
      <c r="D4">
        <v>18.399999999999999</v>
      </c>
      <c r="E4">
        <v>316</v>
      </c>
      <c r="F4" s="1">
        <v>105.8297872</v>
      </c>
      <c r="G4">
        <v>500</v>
      </c>
      <c r="H4">
        <f t="shared" si="3"/>
        <v>303.36170212765956</v>
      </c>
      <c r="I4">
        <v>4.47</v>
      </c>
      <c r="J4" s="2">
        <f t="shared" si="4"/>
        <v>55.890999999999998</v>
      </c>
      <c r="K4">
        <v>3.7</v>
      </c>
      <c r="L4" s="3">
        <f t="shared" si="0"/>
        <v>4.47</v>
      </c>
      <c r="M4">
        <f t="shared" si="1"/>
        <v>27.945499999999999</v>
      </c>
      <c r="N4">
        <f t="shared" si="1"/>
        <v>1.85</v>
      </c>
      <c r="O4" s="3">
        <f t="shared" si="2"/>
        <v>4.47</v>
      </c>
      <c r="P4" t="s">
        <v>19</v>
      </c>
      <c r="R4">
        <v>2.97</v>
      </c>
      <c r="S4">
        <v>235</v>
      </c>
      <c r="U4" s="1">
        <v>60.360999999999997</v>
      </c>
    </row>
    <row r="5" spans="1:21" x14ac:dyDescent="0.2">
      <c r="A5" t="s">
        <v>22</v>
      </c>
      <c r="B5">
        <f>13.2*0.25</f>
        <v>3.3</v>
      </c>
      <c r="C5">
        <f>13.2-B5</f>
        <v>9.8999999999999986</v>
      </c>
      <c r="D5">
        <v>14.3</v>
      </c>
      <c r="E5">
        <v>293</v>
      </c>
      <c r="F5" s="1">
        <v>89.513274339999995</v>
      </c>
      <c r="G5">
        <v>500</v>
      </c>
      <c r="H5">
        <f t="shared" si="3"/>
        <v>283.13274336283183</v>
      </c>
      <c r="I5">
        <v>0.53</v>
      </c>
      <c r="J5" s="2">
        <f t="shared" si="4"/>
        <v>15.204000000000001</v>
      </c>
      <c r="K5">
        <v>3.6</v>
      </c>
      <c r="L5" s="3">
        <f t="shared" si="0"/>
        <v>0.53</v>
      </c>
      <c r="M5">
        <f t="shared" si="1"/>
        <v>7.6020000000000003</v>
      </c>
      <c r="N5">
        <f t="shared" si="1"/>
        <v>1.8</v>
      </c>
      <c r="O5" s="3">
        <f t="shared" si="2"/>
        <v>0.53</v>
      </c>
      <c r="P5" t="s">
        <v>19</v>
      </c>
      <c r="R5">
        <v>2.23</v>
      </c>
      <c r="S5">
        <v>226</v>
      </c>
      <c r="U5" s="1">
        <v>15.734</v>
      </c>
    </row>
    <row r="6" spans="1:21" x14ac:dyDescent="0.2">
      <c r="A6" t="s">
        <v>23</v>
      </c>
      <c r="B6" s="1">
        <f>16.4*0.25</f>
        <v>4.0999999999999996</v>
      </c>
      <c r="C6" s="1">
        <f>16.4-B6</f>
        <v>12.299999999999999</v>
      </c>
      <c r="D6">
        <v>15.3</v>
      </c>
      <c r="E6">
        <v>344</v>
      </c>
      <c r="F6" s="1">
        <v>112.23111110000001</v>
      </c>
      <c r="G6">
        <v>500</v>
      </c>
      <c r="H6">
        <f t="shared" si="3"/>
        <v>336.21333333333331</v>
      </c>
      <c r="I6">
        <v>1.96</v>
      </c>
      <c r="J6" s="2">
        <f t="shared" si="4"/>
        <v>37.746000000000002</v>
      </c>
      <c r="K6">
        <v>3.5</v>
      </c>
      <c r="L6" s="3">
        <f t="shared" si="0"/>
        <v>1.96</v>
      </c>
      <c r="M6">
        <f t="shared" si="1"/>
        <v>18.873000000000001</v>
      </c>
      <c r="N6">
        <f t="shared" si="1"/>
        <v>1.75</v>
      </c>
      <c r="O6" s="3">
        <f t="shared" si="2"/>
        <v>1.96</v>
      </c>
      <c r="P6" t="s">
        <v>24</v>
      </c>
      <c r="R6" s="1">
        <v>1.752</v>
      </c>
      <c r="S6">
        <v>225</v>
      </c>
      <c r="U6" s="1">
        <v>39.706000000000003</v>
      </c>
    </row>
    <row r="7" spans="1:21" x14ac:dyDescent="0.2">
      <c r="A7" t="s">
        <v>25</v>
      </c>
      <c r="B7">
        <f>15.3*0.25</f>
        <v>3.8250000000000002</v>
      </c>
      <c r="C7">
        <f>15.3-B7</f>
        <v>11.475000000000001</v>
      </c>
      <c r="D7">
        <v>13.3</v>
      </c>
      <c r="E7">
        <v>289</v>
      </c>
      <c r="F7" s="1">
        <v>112.8078818</v>
      </c>
      <c r="G7">
        <v>500</v>
      </c>
      <c r="H7">
        <f t="shared" si="3"/>
        <v>279.14778325123154</v>
      </c>
      <c r="I7">
        <v>2.71</v>
      </c>
      <c r="J7" s="2">
        <f t="shared" si="4"/>
        <v>34.5</v>
      </c>
      <c r="K7">
        <v>3.3</v>
      </c>
      <c r="L7" s="3">
        <f t="shared" si="0"/>
        <v>2.71</v>
      </c>
      <c r="M7">
        <f t="shared" si="1"/>
        <v>17.25</v>
      </c>
      <c r="N7">
        <f t="shared" si="1"/>
        <v>1.65</v>
      </c>
      <c r="O7" s="3">
        <f t="shared" si="2"/>
        <v>2.71</v>
      </c>
      <c r="P7" t="s">
        <v>19</v>
      </c>
      <c r="R7">
        <v>2</v>
      </c>
      <c r="S7">
        <v>203</v>
      </c>
      <c r="U7">
        <v>37.21</v>
      </c>
    </row>
    <row r="8" spans="1:21" x14ac:dyDescent="0.2">
      <c r="A8" t="s">
        <v>26</v>
      </c>
      <c r="B8">
        <f>15.4*0.25</f>
        <v>3.85</v>
      </c>
      <c r="C8">
        <f>15.4-B8</f>
        <v>11.55</v>
      </c>
      <c r="D8">
        <v>14.2</v>
      </c>
      <c r="E8">
        <v>266</v>
      </c>
      <c r="F8" s="1">
        <v>102.53658540000001</v>
      </c>
      <c r="G8">
        <v>500</v>
      </c>
      <c r="H8">
        <f t="shared" si="3"/>
        <v>259.5609756097561</v>
      </c>
      <c r="I8">
        <v>3.93</v>
      </c>
      <c r="J8" s="2">
        <f t="shared" si="4"/>
        <v>44.414000000000001</v>
      </c>
      <c r="K8">
        <v>3.3</v>
      </c>
      <c r="L8" s="3">
        <f t="shared" si="0"/>
        <v>3.93</v>
      </c>
      <c r="M8">
        <f t="shared" si="1"/>
        <v>22.207000000000001</v>
      </c>
      <c r="N8">
        <f t="shared" si="1"/>
        <v>1.65</v>
      </c>
      <c r="O8" s="3">
        <f t="shared" si="2"/>
        <v>3.93</v>
      </c>
      <c r="P8" t="s">
        <v>24</v>
      </c>
      <c r="R8">
        <v>1.32</v>
      </c>
      <c r="S8">
        <v>205</v>
      </c>
      <c r="U8" s="1">
        <v>48.344000000000001</v>
      </c>
    </row>
    <row r="9" spans="1:21" x14ac:dyDescent="0.2">
      <c r="A9" t="s">
        <v>27</v>
      </c>
      <c r="B9">
        <f>16.4*0.25</f>
        <v>4.0999999999999996</v>
      </c>
      <c r="C9">
        <f>16.4-B9</f>
        <v>12.299999999999999</v>
      </c>
      <c r="D9">
        <v>13.6</v>
      </c>
      <c r="E9">
        <v>312</v>
      </c>
      <c r="F9" s="1">
        <v>103.0434783</v>
      </c>
      <c r="G9">
        <v>500</v>
      </c>
      <c r="H9">
        <f t="shared" si="3"/>
        <v>301.13043478260869</v>
      </c>
      <c r="I9">
        <v>2.87</v>
      </c>
      <c r="J9" s="2">
        <f t="shared" si="4"/>
        <v>39.600999999999999</v>
      </c>
      <c r="K9">
        <v>3.4</v>
      </c>
      <c r="L9" s="3">
        <f t="shared" si="0"/>
        <v>2.87</v>
      </c>
      <c r="M9">
        <f t="shared" si="1"/>
        <v>19.8005</v>
      </c>
      <c r="N9">
        <f t="shared" si="1"/>
        <v>1.7</v>
      </c>
      <c r="O9" s="3">
        <f t="shared" si="2"/>
        <v>2.87</v>
      </c>
      <c r="P9" t="s">
        <v>24</v>
      </c>
      <c r="R9">
        <v>2.5</v>
      </c>
      <c r="S9">
        <v>230</v>
      </c>
      <c r="U9" s="1">
        <v>42.470999999999997</v>
      </c>
    </row>
    <row r="10" spans="1:21" x14ac:dyDescent="0.2">
      <c r="A10" t="s">
        <v>28</v>
      </c>
      <c r="B10">
        <f>19.1*0.25</f>
        <v>4.7750000000000004</v>
      </c>
      <c r="C10">
        <f>19.1-B10</f>
        <v>14.325000000000001</v>
      </c>
      <c r="D10">
        <v>16.5</v>
      </c>
      <c r="E10">
        <v>317</v>
      </c>
      <c r="F10" s="1">
        <v>108.1447964</v>
      </c>
      <c r="G10">
        <v>500</v>
      </c>
      <c r="H10">
        <f t="shared" si="3"/>
        <v>303.87782805429862</v>
      </c>
      <c r="I10">
        <v>0.37</v>
      </c>
      <c r="J10" s="2">
        <f t="shared" si="4"/>
        <v>5.1909999999999998</v>
      </c>
      <c r="K10">
        <v>3.9</v>
      </c>
      <c r="L10" s="3">
        <f t="shared" si="0"/>
        <v>0.37</v>
      </c>
      <c r="M10">
        <f t="shared" si="1"/>
        <v>2.5954999999999999</v>
      </c>
      <c r="N10">
        <f t="shared" si="1"/>
        <v>1.95</v>
      </c>
      <c r="O10" s="3">
        <f t="shared" si="2"/>
        <v>0.37</v>
      </c>
      <c r="P10" t="s">
        <v>24</v>
      </c>
      <c r="R10">
        <v>2.9</v>
      </c>
      <c r="S10">
        <v>221</v>
      </c>
      <c r="U10" s="1">
        <v>5.5609999999999999</v>
      </c>
    </row>
    <row r="11" spans="1:21" x14ac:dyDescent="0.2">
      <c r="A11" t="s">
        <v>29</v>
      </c>
      <c r="B11">
        <f>17.5*0.25</f>
        <v>4.375</v>
      </c>
      <c r="C11">
        <f>17.5-B11</f>
        <v>13.125</v>
      </c>
      <c r="D11">
        <v>24.8</v>
      </c>
      <c r="E11">
        <v>328</v>
      </c>
      <c r="F11" s="1">
        <v>119.14893619999999</v>
      </c>
      <c r="G11">
        <v>500</v>
      </c>
      <c r="H11">
        <f t="shared" si="3"/>
        <v>325.02127659574467</v>
      </c>
      <c r="I11">
        <v>5.66</v>
      </c>
      <c r="J11" s="2">
        <f t="shared" si="4"/>
        <v>68.128</v>
      </c>
      <c r="K11">
        <v>4</v>
      </c>
      <c r="L11" s="3">
        <f t="shared" si="0"/>
        <v>5.66</v>
      </c>
      <c r="M11">
        <f t="shared" si="1"/>
        <v>34.064</v>
      </c>
      <c r="N11">
        <f t="shared" si="1"/>
        <v>2</v>
      </c>
      <c r="O11" s="3">
        <f t="shared" si="2"/>
        <v>5.66</v>
      </c>
      <c r="P11" t="s">
        <v>19</v>
      </c>
      <c r="R11">
        <v>0.7</v>
      </c>
      <c r="S11">
        <v>235</v>
      </c>
      <c r="U11" s="1">
        <v>73.787999999999997</v>
      </c>
    </row>
    <row r="12" spans="1:21" x14ac:dyDescent="0.2">
      <c r="A12" t="s">
        <v>30</v>
      </c>
      <c r="B12">
        <f>15.3*0.25</f>
        <v>3.8250000000000002</v>
      </c>
      <c r="C12">
        <f>15.3-B12</f>
        <v>11.475000000000001</v>
      </c>
      <c r="D12">
        <v>14.6</v>
      </c>
      <c r="E12">
        <v>296</v>
      </c>
      <c r="F12" s="1">
        <v>84.182266010000006</v>
      </c>
      <c r="G12">
        <v>500</v>
      </c>
      <c r="H12">
        <f t="shared" si="3"/>
        <v>283.2463054187192</v>
      </c>
      <c r="I12">
        <v>5.08</v>
      </c>
      <c r="J12" s="2">
        <f t="shared" si="4"/>
        <v>22.835999999999999</v>
      </c>
      <c r="K12">
        <v>3.3</v>
      </c>
      <c r="L12" s="3">
        <f t="shared" si="0"/>
        <v>5.08</v>
      </c>
      <c r="M12">
        <f t="shared" si="1"/>
        <v>11.417999999999999</v>
      </c>
      <c r="N12">
        <f t="shared" si="1"/>
        <v>1.65</v>
      </c>
      <c r="O12" s="3">
        <f t="shared" si="2"/>
        <v>5.08</v>
      </c>
      <c r="P12" t="s">
        <v>24</v>
      </c>
      <c r="R12" s="1">
        <v>2.589</v>
      </c>
      <c r="S12">
        <v>203</v>
      </c>
      <c r="U12" s="1">
        <v>27.916</v>
      </c>
    </row>
    <row r="13" spans="1:21" x14ac:dyDescent="0.2">
      <c r="A13" t="s">
        <v>31</v>
      </c>
      <c r="B13">
        <f>19.6*0.25</f>
        <v>4.9000000000000004</v>
      </c>
      <c r="C13">
        <f>19.6-B13</f>
        <v>14.700000000000001</v>
      </c>
      <c r="D13">
        <v>17.3</v>
      </c>
      <c r="E13">
        <v>292</v>
      </c>
      <c r="F13" s="1">
        <v>104.4017094</v>
      </c>
      <c r="G13">
        <v>500</v>
      </c>
      <c r="H13">
        <f t="shared" si="3"/>
        <v>285.88888888888891</v>
      </c>
      <c r="I13">
        <v>0.82</v>
      </c>
      <c r="J13" s="2">
        <f t="shared" si="4"/>
        <v>20.86</v>
      </c>
      <c r="K13">
        <v>3.4</v>
      </c>
      <c r="L13" s="3">
        <f t="shared" si="0"/>
        <v>0.82</v>
      </c>
      <c r="M13">
        <f t="shared" si="1"/>
        <v>10.43</v>
      </c>
      <c r="N13">
        <f t="shared" si="1"/>
        <v>1.7</v>
      </c>
      <c r="O13" s="3">
        <f t="shared" si="2"/>
        <v>0.82</v>
      </c>
      <c r="P13" t="s">
        <v>24</v>
      </c>
      <c r="R13">
        <v>1.43</v>
      </c>
      <c r="S13">
        <v>234</v>
      </c>
      <c r="U13" s="4">
        <v>21.68</v>
      </c>
    </row>
    <row r="14" spans="1:21" x14ac:dyDescent="0.2">
      <c r="A14" t="s">
        <v>32</v>
      </c>
      <c r="B14">
        <v>4</v>
      </c>
      <c r="C14">
        <v>12</v>
      </c>
      <c r="D14">
        <v>14.4</v>
      </c>
      <c r="E14">
        <v>297</v>
      </c>
      <c r="F14" s="1">
        <v>109.06382979999999</v>
      </c>
      <c r="G14">
        <v>500</v>
      </c>
      <c r="H14">
        <f t="shared" si="3"/>
        <v>285.80851063829789</v>
      </c>
      <c r="I14">
        <v>5.26</v>
      </c>
      <c r="J14" s="2">
        <f t="shared" si="4"/>
        <v>54.475000000000001</v>
      </c>
      <c r="K14">
        <v>3.9</v>
      </c>
      <c r="L14" s="3">
        <f t="shared" si="0"/>
        <v>5.26</v>
      </c>
      <c r="M14">
        <f t="shared" si="1"/>
        <v>27.237500000000001</v>
      </c>
      <c r="N14">
        <f t="shared" si="1"/>
        <v>1.95</v>
      </c>
      <c r="O14" s="3">
        <f t="shared" si="2"/>
        <v>5.26</v>
      </c>
      <c r="P14" t="s">
        <v>24</v>
      </c>
      <c r="R14">
        <v>2.63</v>
      </c>
      <c r="S14">
        <v>235</v>
      </c>
      <c r="U14" s="1">
        <v>59.734999999999999</v>
      </c>
    </row>
    <row r="15" spans="1:21" x14ac:dyDescent="0.2">
      <c r="A15" t="s">
        <v>33</v>
      </c>
      <c r="B15">
        <f>12.1*0.25</f>
        <v>3.0249999999999999</v>
      </c>
      <c r="C15">
        <f>12.1-B15</f>
        <v>9.0749999999999993</v>
      </c>
      <c r="D15">
        <v>13.3</v>
      </c>
      <c r="E15">
        <v>314</v>
      </c>
      <c r="F15" s="1">
        <v>100.3482587</v>
      </c>
      <c r="G15">
        <v>500</v>
      </c>
      <c r="H15">
        <f t="shared" si="3"/>
        <v>303.20398009950247</v>
      </c>
      <c r="I15">
        <v>6.48</v>
      </c>
      <c r="J15" s="2">
        <f t="shared" si="4"/>
        <v>47.841999999999999</v>
      </c>
      <c r="K15">
        <v>3.3</v>
      </c>
      <c r="L15" s="3">
        <f t="shared" si="0"/>
        <v>6.48</v>
      </c>
      <c r="M15">
        <f t="shared" si="1"/>
        <v>23.920999999999999</v>
      </c>
      <c r="N15">
        <f t="shared" si="1"/>
        <v>1.65</v>
      </c>
      <c r="O15" s="3">
        <f t="shared" si="2"/>
        <v>6.48</v>
      </c>
      <c r="P15" t="s">
        <v>24</v>
      </c>
      <c r="R15">
        <v>2.17</v>
      </c>
      <c r="S15">
        <v>201</v>
      </c>
      <c r="U15" s="1">
        <v>54.322000000000003</v>
      </c>
    </row>
    <row r="16" spans="1:21" x14ac:dyDescent="0.2">
      <c r="A16" t="s">
        <v>34</v>
      </c>
      <c r="B16">
        <f>19.1*0.25</f>
        <v>4.7750000000000004</v>
      </c>
      <c r="C16">
        <f>19.1-B16</f>
        <v>14.325000000000001</v>
      </c>
      <c r="D16">
        <v>21.6</v>
      </c>
      <c r="E16">
        <v>294</v>
      </c>
      <c r="F16" s="1">
        <v>93.8961039</v>
      </c>
      <c r="G16">
        <v>500</v>
      </c>
      <c r="H16">
        <f t="shared" si="3"/>
        <v>284.95238095238096</v>
      </c>
      <c r="I16">
        <v>5.48</v>
      </c>
      <c r="J16" s="2">
        <f t="shared" si="4"/>
        <v>69.903999999999996</v>
      </c>
      <c r="K16">
        <v>3.9</v>
      </c>
      <c r="L16" s="3">
        <f t="shared" si="0"/>
        <v>5.48</v>
      </c>
      <c r="M16">
        <f t="shared" si="1"/>
        <v>34.951999999999998</v>
      </c>
      <c r="N16">
        <f t="shared" si="1"/>
        <v>1.95</v>
      </c>
      <c r="O16" s="3">
        <f t="shared" si="2"/>
        <v>5.48</v>
      </c>
      <c r="P16" t="s">
        <v>24</v>
      </c>
      <c r="R16">
        <v>2.09</v>
      </c>
      <c r="S16">
        <v>231</v>
      </c>
      <c r="U16" s="1">
        <v>75.384</v>
      </c>
    </row>
    <row r="17" spans="1:21" x14ac:dyDescent="0.2">
      <c r="A17" t="s">
        <v>35</v>
      </c>
      <c r="B17">
        <f>16.4*0.25</f>
        <v>4.0999999999999996</v>
      </c>
      <c r="C17">
        <f>16.4-B17</f>
        <v>12.299999999999999</v>
      </c>
      <c r="D17">
        <v>15.2</v>
      </c>
      <c r="E17">
        <v>317</v>
      </c>
      <c r="F17" s="1">
        <v>116.5957447</v>
      </c>
      <c r="G17">
        <v>500</v>
      </c>
      <c r="H17">
        <f t="shared" si="3"/>
        <v>307.21276595744683</v>
      </c>
      <c r="I17">
        <v>4.05</v>
      </c>
      <c r="J17" s="2">
        <f t="shared" si="4"/>
        <v>50.333000000000006</v>
      </c>
      <c r="K17">
        <v>4.2</v>
      </c>
      <c r="L17" s="3">
        <f t="shared" si="0"/>
        <v>4.05</v>
      </c>
      <c r="M17">
        <f t="shared" si="1"/>
        <v>25.166500000000003</v>
      </c>
      <c r="N17">
        <f t="shared" si="1"/>
        <v>2.1</v>
      </c>
      <c r="O17" s="3">
        <f t="shared" si="2"/>
        <v>4.05</v>
      </c>
      <c r="P17" t="s">
        <v>24</v>
      </c>
      <c r="R17">
        <v>2.2999999999999998</v>
      </c>
      <c r="S17">
        <v>235</v>
      </c>
      <c r="U17" s="1">
        <v>54.383000000000003</v>
      </c>
    </row>
    <row r="18" spans="1:21" x14ac:dyDescent="0.2">
      <c r="A18" t="s">
        <v>36</v>
      </c>
      <c r="B18">
        <v>3.8</v>
      </c>
      <c r="C18">
        <f>15.2-B18</f>
        <v>11.399999999999999</v>
      </c>
      <c r="D18">
        <v>14.6</v>
      </c>
      <c r="E18">
        <v>279</v>
      </c>
      <c r="F18">
        <v>110</v>
      </c>
      <c r="G18">
        <v>500</v>
      </c>
      <c r="H18">
        <f t="shared" si="3"/>
        <v>264.59322033898303</v>
      </c>
      <c r="I18">
        <v>1.33</v>
      </c>
      <c r="J18" s="2">
        <f t="shared" si="4"/>
        <v>28.154000000000003</v>
      </c>
      <c r="K18">
        <v>3.4</v>
      </c>
      <c r="L18" s="3">
        <f t="shared" si="0"/>
        <v>1.33</v>
      </c>
      <c r="M18">
        <f>J18/2</f>
        <v>14.077000000000002</v>
      </c>
      <c r="N18">
        <f t="shared" ref="N18:N21" si="5">K18/2</f>
        <v>1.7</v>
      </c>
      <c r="O18" s="3">
        <f t="shared" si="2"/>
        <v>1.33</v>
      </c>
      <c r="P18" t="s">
        <v>19</v>
      </c>
      <c r="R18">
        <v>3.4</v>
      </c>
      <c r="S18">
        <v>236</v>
      </c>
      <c r="U18" s="1">
        <v>29.484000000000002</v>
      </c>
    </row>
    <row r="19" spans="1:21" x14ac:dyDescent="0.2">
      <c r="A19" t="s">
        <v>37</v>
      </c>
      <c r="B19">
        <f>12.6*0.25</f>
        <v>3.15</v>
      </c>
      <c r="C19">
        <f>12.6-B19</f>
        <v>9.4499999999999993</v>
      </c>
      <c r="D19">
        <v>14.1</v>
      </c>
      <c r="E19">
        <v>294</v>
      </c>
      <c r="F19" s="1">
        <v>85.556521739999994</v>
      </c>
      <c r="G19">
        <v>500</v>
      </c>
      <c r="H19">
        <f t="shared" si="3"/>
        <v>286.26956521739129</v>
      </c>
      <c r="I19">
        <v>0.47</v>
      </c>
      <c r="J19" s="2">
        <f t="shared" si="4"/>
        <v>14.206</v>
      </c>
      <c r="K19">
        <v>4</v>
      </c>
      <c r="L19" s="3">
        <f t="shared" si="0"/>
        <v>0.47</v>
      </c>
      <c r="M19">
        <f t="shared" ref="M19:M21" si="6">J19/2</f>
        <v>7.1029999999999998</v>
      </c>
      <c r="N19">
        <v>2</v>
      </c>
      <c r="O19" s="3">
        <f t="shared" si="2"/>
        <v>0.47</v>
      </c>
      <c r="P19" t="s">
        <v>19</v>
      </c>
      <c r="R19" s="1">
        <v>1.778</v>
      </c>
      <c r="S19">
        <v>230</v>
      </c>
      <c r="U19" s="1">
        <v>14.676</v>
      </c>
    </row>
    <row r="20" spans="1:21" x14ac:dyDescent="0.2">
      <c r="A20" t="s">
        <v>38</v>
      </c>
      <c r="B20">
        <v>3.2</v>
      </c>
      <c r="C20">
        <f>12.8-B20</f>
        <v>9.6000000000000014</v>
      </c>
      <c r="D20">
        <v>10.7</v>
      </c>
      <c r="E20">
        <v>296</v>
      </c>
      <c r="F20" s="1">
        <v>105.6034483</v>
      </c>
      <c r="G20">
        <v>500</v>
      </c>
      <c r="H20">
        <f t="shared" si="3"/>
        <v>280.48275862068965</v>
      </c>
      <c r="I20">
        <v>3.93</v>
      </c>
      <c r="J20" s="2">
        <f t="shared" si="4"/>
        <v>52.762</v>
      </c>
      <c r="K20">
        <v>3.3</v>
      </c>
      <c r="L20" s="3">
        <f t="shared" si="0"/>
        <v>3.93</v>
      </c>
      <c r="M20">
        <f>J20/2</f>
        <v>26.381</v>
      </c>
      <c r="N20">
        <f>K20/2</f>
        <v>1.65</v>
      </c>
      <c r="O20" s="3">
        <f t="shared" si="2"/>
        <v>3.93</v>
      </c>
      <c r="P20" t="s">
        <v>19</v>
      </c>
      <c r="R20">
        <v>3.6</v>
      </c>
      <c r="S20">
        <v>232</v>
      </c>
      <c r="U20" s="1">
        <v>56.692</v>
      </c>
    </row>
    <row r="21" spans="1:21" x14ac:dyDescent="0.2">
      <c r="A21" t="s">
        <v>39</v>
      </c>
      <c r="B21">
        <f>17.2*0.25</f>
        <v>4.3</v>
      </c>
      <c r="C21">
        <f>17.2-B21</f>
        <v>12.899999999999999</v>
      </c>
      <c r="D21">
        <v>17.3</v>
      </c>
      <c r="E21">
        <v>297</v>
      </c>
      <c r="F21" s="1">
        <v>103.86266089999999</v>
      </c>
      <c r="G21">
        <v>500</v>
      </c>
      <c r="H21">
        <f t="shared" si="3"/>
        <v>281.54935622317595</v>
      </c>
      <c r="I21">
        <v>8.65</v>
      </c>
      <c r="J21" s="2">
        <f t="shared" si="4"/>
        <v>84.647999999999996</v>
      </c>
      <c r="K21">
        <v>3.6</v>
      </c>
      <c r="L21" s="3">
        <f t="shared" si="0"/>
        <v>8.65</v>
      </c>
      <c r="M21">
        <f t="shared" si="6"/>
        <v>42.323999999999998</v>
      </c>
      <c r="N21">
        <v>2</v>
      </c>
      <c r="O21" s="3">
        <f t="shared" si="2"/>
        <v>8.65</v>
      </c>
      <c r="P21" t="s">
        <v>19</v>
      </c>
      <c r="R21">
        <v>3.6</v>
      </c>
      <c r="S21">
        <v>233</v>
      </c>
      <c r="U21" s="1">
        <v>93.298000000000002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Migliore  Nicolo</dc:creator>
  <cp:lastModifiedBy>Migliore  Nicolo</cp:lastModifiedBy>
  <dcterms:created xsi:type="dcterms:W3CDTF">2026-03-05T09:53:13Z</dcterms:created>
  <dcterms:modified xsi:type="dcterms:W3CDTF">2026-03-05T10:18:50Z</dcterms:modified>
</cp:coreProperties>
</file>