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omigliore/Desktop/TESI/modellimatematici/pbuts_model/"/>
    </mc:Choice>
  </mc:AlternateContent>
  <xr:revisionPtr revIDLastSave="0" documentId="8_{A32DDD22-863A-F440-829A-22372E36C826}" xr6:coauthVersionLast="47" xr6:coauthVersionMax="47" xr10:uidLastSave="{00000000-0000-0000-0000-000000000000}"/>
  <bookViews>
    <workbookView xWindow="440" yWindow="640" windowWidth="27240" windowHeight="16140" xr2:uid="{FF267851-87E3-654A-AAE0-A27E7ACBBE71}"/>
  </bookViews>
  <sheets>
    <sheet name="Foglio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M20" i="1"/>
  <c r="N20" i="1"/>
  <c r="M18" i="1"/>
  <c r="N18" i="1"/>
  <c r="C18" i="1"/>
  <c r="J18" i="1"/>
  <c r="L18" i="1"/>
  <c r="O18" i="1"/>
  <c r="L20" i="1"/>
  <c r="O20" i="1"/>
  <c r="O21" i="1" l="1"/>
  <c r="L21" i="1"/>
  <c r="J20" i="1"/>
  <c r="J21" i="1"/>
  <c r="M21" i="1" s="1"/>
  <c r="B21" i="1"/>
  <c r="C21" i="1" s="1"/>
  <c r="O19" i="1"/>
  <c r="L19" i="1"/>
  <c r="J19" i="1"/>
  <c r="M19" i="1" s="1"/>
  <c r="B19" i="1"/>
  <c r="C19" i="1" s="1"/>
  <c r="N17" i="1"/>
  <c r="J17" i="1"/>
  <c r="M17" i="1" s="1"/>
  <c r="L17" i="1"/>
  <c r="O17" i="1"/>
  <c r="B17" i="1"/>
  <c r="C17" i="1" s="1"/>
  <c r="N16" i="1"/>
  <c r="J16" i="1"/>
  <c r="M16" i="1" s="1"/>
  <c r="L16" i="1"/>
  <c r="O16" i="1"/>
  <c r="B16" i="1"/>
  <c r="C16" i="1" s="1"/>
  <c r="N15" i="1"/>
  <c r="J15" i="1"/>
  <c r="M15" i="1" s="1"/>
  <c r="L15" i="1"/>
  <c r="O15" i="1"/>
  <c r="B15" i="1"/>
  <c r="C15" i="1" s="1"/>
  <c r="N14" i="1"/>
  <c r="J14" i="1"/>
  <c r="M14" i="1" s="1"/>
  <c r="L14" i="1"/>
  <c r="O14" i="1"/>
  <c r="J13" i="1"/>
  <c r="M13" i="1" s="1"/>
  <c r="L13" i="1"/>
  <c r="O13" i="1"/>
  <c r="N13" i="1"/>
  <c r="B13" i="1"/>
  <c r="C13" i="1" s="1"/>
  <c r="N12" i="1"/>
  <c r="J12" i="1"/>
  <c r="M12" i="1"/>
  <c r="L12" i="1"/>
  <c r="O12" i="1"/>
  <c r="B12" i="1"/>
  <c r="C12" i="1" s="1"/>
  <c r="N11" i="1"/>
  <c r="J11" i="1"/>
  <c r="M11" i="1" s="1"/>
  <c r="L11" i="1"/>
  <c r="O11" i="1"/>
  <c r="C11" i="1"/>
  <c r="B11" i="1"/>
  <c r="N10" i="1"/>
  <c r="J10" i="1"/>
  <c r="M10" i="1" s="1"/>
  <c r="L10" i="1"/>
  <c r="O10" i="1"/>
  <c r="B10" i="1"/>
  <c r="C10" i="1" s="1"/>
  <c r="N9" i="1"/>
  <c r="J9" i="1"/>
  <c r="M9" i="1" s="1"/>
  <c r="L9" i="1"/>
  <c r="O9" i="1"/>
  <c r="B9" i="1"/>
  <c r="C9" i="1" s="1"/>
  <c r="N8" i="1"/>
  <c r="J8" i="1"/>
  <c r="M8" i="1" s="1"/>
  <c r="L8" i="1"/>
  <c r="O8" i="1"/>
  <c r="B8" i="1"/>
  <c r="C8" i="1" s="1"/>
  <c r="N7" i="1"/>
  <c r="J7" i="1"/>
  <c r="M7" i="1"/>
  <c r="L7" i="1"/>
  <c r="O7" i="1"/>
  <c r="B7" i="1"/>
  <c r="C7" i="1" s="1"/>
  <c r="N6" i="1"/>
  <c r="J6" i="1"/>
  <c r="M6" i="1" s="1"/>
  <c r="L6" i="1"/>
  <c r="O6" i="1"/>
  <c r="B6" i="1"/>
  <c r="C6" i="1" s="1"/>
  <c r="O5" i="1"/>
  <c r="N5" i="1"/>
  <c r="L5" i="1"/>
  <c r="J5" i="1"/>
  <c r="M5" i="1" s="1"/>
  <c r="B5" i="1"/>
  <c r="C5" i="1" s="1"/>
  <c r="O4" i="1"/>
  <c r="N4" i="1"/>
  <c r="L4" i="1"/>
  <c r="J4" i="1"/>
  <c r="M4" i="1" s="1"/>
  <c r="B4" i="1"/>
  <c r="C4" i="1" s="1"/>
  <c r="O3" i="1"/>
  <c r="O2" i="1"/>
  <c r="N3" i="1"/>
  <c r="L3" i="1"/>
  <c r="J3" i="1"/>
  <c r="M3" i="1" s="1"/>
  <c r="D3" i="1"/>
  <c r="B3" i="1"/>
  <c r="C3" i="1" s="1"/>
  <c r="B2" i="1"/>
  <c r="C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L2" i="1" l="1"/>
  <c r="J2" i="1"/>
  <c r="M2" i="1" s="1"/>
  <c r="N2" i="1"/>
</calcChain>
</file>

<file path=xl/sharedStrings.xml><?xml version="1.0" encoding="utf-8"?>
<sst xmlns="http://schemas.openxmlformats.org/spreadsheetml/2006/main" count="59" uniqueCount="41">
  <si>
    <t>ID_Paziente</t>
  </si>
  <si>
    <t>Vpl0</t>
  </si>
  <si>
    <t>Vis0</t>
  </si>
  <si>
    <t>Vic</t>
  </si>
  <si>
    <t>Qp</t>
  </si>
  <si>
    <t>Quf</t>
  </si>
  <si>
    <t>Qd</t>
  </si>
  <si>
    <t>Qr</t>
  </si>
  <si>
    <t>Tpl0</t>
  </si>
  <si>
    <t>PTpl0</t>
  </si>
  <si>
    <t>Ppl0</t>
  </si>
  <si>
    <t>Tis0</t>
  </si>
  <si>
    <t>PTis0</t>
  </si>
  <si>
    <t>Pis0</t>
  </si>
  <si>
    <t>Tic0</t>
  </si>
  <si>
    <t>Modello_Filtro</t>
  </si>
  <si>
    <t>Calo Peso(mL)</t>
  </si>
  <si>
    <t>Tempo di dialisi</t>
  </si>
  <si>
    <t>Tpl_tot [IS]</t>
  </si>
  <si>
    <t>M01</t>
  </si>
  <si>
    <t>Solacea21H</t>
  </si>
  <si>
    <t>M02</t>
  </si>
  <si>
    <t>M03</t>
  </si>
  <si>
    <t>M04</t>
  </si>
  <si>
    <t>M05</t>
  </si>
  <si>
    <t>Fx100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</si>
  <si>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</si>
  <si>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</si>
  <si>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</si>
  <si>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</si>
  <si>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</si>
  <si>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</si>
  <si>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</si>
  <si>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</si>
  <si>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</si>
  <si>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M16</t>
  </si>
  <si>
    <t>M17</t>
  </si>
  <si>
    <t>M18</t>
  </si>
  <si>
    <t>M19</t>
  </si>
  <si>
    <t>M20</t>
  </si>
  <si>
    <t>M21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</si>
</sst>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1" fillId="0" borderId="1" xfId="1" applyNumberFormat="1" applyBorder="1"/>
  </cellXfs>
  <cellStyles count="2">
    <cellStyle name="Normale" xfId="0" builtinId="0"/>
    <cellStyle name="Normale 2" xfId="1" xr:uid="{E1903D91-A2ED-6640-B82F-F3D68DF465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6450-AE4A-4E47-8BFE-DC363E96516C}">
  <dimension ref="A1:U21"/>
  <sheetViews>
    <sheetView tabSelected="1" zoomScale="125" workbookViewId="0">
      <selection activeCell="C21" sqref="C21"/>
    </sheetView>
  </sheetViews>
  <sheetFormatPr baseColWidth="10" defaultRowHeight="16" x14ac:dyDescent="0.2"/>
  <cols>
    <col min="5" max="5" width="8" customWidth="1"/>
    <col min="6" max="6" width="10.332031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U1" t="s">
        <v>18</v>
      </c>
    </row>
    <row r="2" spans="1:21" x14ac:dyDescent="0.2">
      <c r="A2" t="s">
        <v>19</v>
      </c>
      <c r="B2">
        <f>19.8*0.25</f>
        <v>4.95</v>
      </c>
      <c r="C2">
        <f>19.8-B2</f>
        <v>14.850000000000001</v>
      </c>
      <c r="D2">
        <v>18.7</v>
      </c>
      <c r="E2">
        <v>297</v>
      </c>
      <c r="F2" s="1">
        <v>114.21777779999999</v>
      </c>
      <c r="G2">
        <v>500</v>
      </c>
      <c r="H2">
        <f>E2-(R2*1000/S2)</f>
        <v>285.44888888888886</v>
      </c>
      <c r="I2" s="2">
        <v>5.0549999999999997</v>
      </c>
      <c r="J2" s="2">
        <f t="shared" ref="J2:J18" si="0">U2-I2</f>
        <v>51.994</v>
      </c>
      <c r="K2">
        <v>3.1</v>
      </c>
      <c r="L2" s="3">
        <f t="shared" ref="L2:L18" si="1">I2</f>
        <v>5.0549999999999997</v>
      </c>
      <c r="M2">
        <f t="shared" ref="M2:M18" si="2">J2/2</f>
        <v>25.997</v>
      </c>
      <c r="N2">
        <f t="shared" ref="N2:N18" si="3">K2/2</f>
        <v>1.55</v>
      </c>
      <c r="O2" s="3">
        <f t="shared" ref="O2:O18" si="4">I2</f>
        <v>5.0549999999999997</v>
      </c>
      <c r="P2" t="s">
        <v>20</v>
      </c>
      <c r="R2" s="1">
        <v>2.5990000000000002</v>
      </c>
      <c r="S2">
        <v>225</v>
      </c>
      <c r="U2" s="2">
        <v>57.048999999999999</v>
      </c>
    </row>
    <row r="3" spans="1:21" x14ac:dyDescent="0.2">
      <c r="A3" t="s">
        <v>21</v>
      </c>
      <c r="B3">
        <f>18.5*0.25</f>
        <v>4.625</v>
      </c>
      <c r="C3">
        <f>18.5-B3</f>
        <v>13.875</v>
      </c>
      <c r="D3">
        <f>21.8</f>
        <v>21.8</v>
      </c>
      <c r="E3">
        <v>317</v>
      </c>
      <c r="F3" s="1">
        <v>113.8723404</v>
      </c>
      <c r="G3">
        <v>500</v>
      </c>
      <c r="H3">
        <f t="shared" ref="H3:H21" si="5">E3-(R3*1000/S3)</f>
        <v>305.25531914893617</v>
      </c>
      <c r="I3" s="2">
        <v>3.972</v>
      </c>
      <c r="J3" s="2">
        <f t="shared" si="0"/>
        <v>41.591000000000001</v>
      </c>
      <c r="K3">
        <v>3.6</v>
      </c>
      <c r="L3" s="3">
        <f t="shared" si="1"/>
        <v>3.972</v>
      </c>
      <c r="M3">
        <f t="shared" si="2"/>
        <v>20.795500000000001</v>
      </c>
      <c r="N3">
        <f t="shared" si="3"/>
        <v>1.8</v>
      </c>
      <c r="O3" s="3">
        <f t="shared" si="4"/>
        <v>3.972</v>
      </c>
      <c r="P3" t="s">
        <v>20</v>
      </c>
      <c r="R3">
        <v>2.76</v>
      </c>
      <c r="S3">
        <v>235</v>
      </c>
      <c r="U3" s="2">
        <v>45.563000000000002</v>
      </c>
    </row>
    <row r="4" spans="1:21" x14ac:dyDescent="0.2">
      <c r="A4" t="s">
        <v>22</v>
      </c>
      <c r="B4">
        <f>19.5*0.25</f>
        <v>4.875</v>
      </c>
      <c r="C4">
        <f>19.5-B4</f>
        <v>14.625</v>
      </c>
      <c r="D4">
        <v>18.399999999999999</v>
      </c>
      <c r="E4">
        <v>316</v>
      </c>
      <c r="F4" s="1">
        <v>105.8297872</v>
      </c>
      <c r="G4">
        <v>500</v>
      </c>
      <c r="H4">
        <f t="shared" si="5"/>
        <v>303.36170212765956</v>
      </c>
      <c r="I4" s="2">
        <v>3.899</v>
      </c>
      <c r="J4" s="2">
        <f t="shared" si="0"/>
        <v>37.460999999999999</v>
      </c>
      <c r="K4">
        <v>3.7</v>
      </c>
      <c r="L4" s="3">
        <f t="shared" si="1"/>
        <v>3.899</v>
      </c>
      <c r="M4">
        <f t="shared" si="2"/>
        <v>18.730499999999999</v>
      </c>
      <c r="N4">
        <f t="shared" si="3"/>
        <v>1.85</v>
      </c>
      <c r="O4" s="3">
        <f t="shared" si="4"/>
        <v>3.899</v>
      </c>
      <c r="P4" t="s">
        <v>20</v>
      </c>
      <c r="R4">
        <v>2.97</v>
      </c>
      <c r="S4">
        <v>235</v>
      </c>
      <c r="U4" s="2">
        <v>41.36</v>
      </c>
    </row>
    <row r="5" spans="1:21" x14ac:dyDescent="0.2">
      <c r="A5" t="s">
        <v>23</v>
      </c>
      <c r="B5">
        <f>13.2*0.25</f>
        <v>3.3</v>
      </c>
      <c r="C5">
        <f>13.2-B5</f>
        <v>9.8999999999999986</v>
      </c>
      <c r="D5">
        <v>14.3</v>
      </c>
      <c r="E5">
        <v>293</v>
      </c>
      <c r="F5" s="1">
        <v>89.513274339999995</v>
      </c>
      <c r="G5">
        <v>500</v>
      </c>
      <c r="H5">
        <f t="shared" si="5"/>
        <v>283.13274336283183</v>
      </c>
      <c r="I5" s="2">
        <v>1.351</v>
      </c>
      <c r="J5" s="2">
        <f t="shared" si="0"/>
        <v>31.667999999999999</v>
      </c>
      <c r="K5">
        <v>3.6</v>
      </c>
      <c r="L5" s="3">
        <f t="shared" si="1"/>
        <v>1.351</v>
      </c>
      <c r="M5">
        <f t="shared" si="2"/>
        <v>15.834</v>
      </c>
      <c r="N5">
        <f t="shared" si="3"/>
        <v>1.8</v>
      </c>
      <c r="O5" s="3">
        <f t="shared" si="4"/>
        <v>1.351</v>
      </c>
      <c r="P5" t="s">
        <v>20</v>
      </c>
      <c r="R5">
        <v>2.23</v>
      </c>
      <c r="S5">
        <v>226</v>
      </c>
      <c r="U5" s="2">
        <v>33.018999999999998</v>
      </c>
    </row>
    <row r="6" spans="1:21" x14ac:dyDescent="0.2">
      <c r="A6" t="s">
        <v>24</v>
      </c>
      <c r="B6" s="1">
        <f>16.4*0.25</f>
        <v>4.0999999999999996</v>
      </c>
      <c r="C6" s="1">
        <f>16.4-B6</f>
        <v>12.299999999999999</v>
      </c>
      <c r="D6">
        <v>15.3</v>
      </c>
      <c r="E6">
        <v>344</v>
      </c>
      <c r="F6" s="1">
        <v>112.23111110000001</v>
      </c>
      <c r="G6">
        <v>500</v>
      </c>
      <c r="H6">
        <f t="shared" si="5"/>
        <v>336.21333333333331</v>
      </c>
      <c r="I6" s="2">
        <v>1.77</v>
      </c>
      <c r="J6" s="2">
        <f t="shared" si="0"/>
        <v>23.777999999999999</v>
      </c>
      <c r="K6">
        <v>3.5</v>
      </c>
      <c r="L6" s="3">
        <f t="shared" si="1"/>
        <v>1.77</v>
      </c>
      <c r="M6">
        <f t="shared" si="2"/>
        <v>11.888999999999999</v>
      </c>
      <c r="N6">
        <f t="shared" si="3"/>
        <v>1.75</v>
      </c>
      <c r="O6" s="3">
        <f t="shared" si="4"/>
        <v>1.77</v>
      </c>
      <c r="P6" t="s">
        <v>25</v>
      </c>
      <c r="R6" s="1">
        <v>1.752</v>
      </c>
      <c r="S6">
        <v>225</v>
      </c>
      <c r="U6" s="2">
        <v>25.547999999999998</v>
      </c>
    </row>
    <row r="7" spans="1:21" x14ac:dyDescent="0.2">
      <c r="A7" t="s">
        <v>26</v>
      </c>
      <c r="B7">
        <f>15.3*0.25</f>
        <v>3.8250000000000002</v>
      </c>
      <c r="C7">
        <f>15.3-B7</f>
        <v>11.475000000000001</v>
      </c>
      <c r="D7">
        <v>13.3</v>
      </c>
      <c r="E7">
        <v>289</v>
      </c>
      <c r="F7" s="1">
        <v>112.8078818</v>
      </c>
      <c r="G7">
        <v>500</v>
      </c>
      <c r="H7">
        <f t="shared" si="5"/>
        <v>279.14778325123154</v>
      </c>
      <c r="I7" s="2">
        <v>3.26</v>
      </c>
      <c r="J7" s="2">
        <f t="shared" si="0"/>
        <v>32.158000000000001</v>
      </c>
      <c r="K7">
        <v>3.3</v>
      </c>
      <c r="L7" s="3">
        <f t="shared" si="1"/>
        <v>3.26</v>
      </c>
      <c r="M7">
        <f t="shared" si="2"/>
        <v>16.079000000000001</v>
      </c>
      <c r="N7">
        <f t="shared" si="3"/>
        <v>1.65</v>
      </c>
      <c r="O7" s="3">
        <f t="shared" si="4"/>
        <v>3.26</v>
      </c>
      <c r="P7" t="s">
        <v>20</v>
      </c>
      <c r="R7">
        <v>2</v>
      </c>
      <c r="S7">
        <v>203</v>
      </c>
      <c r="U7" s="2">
        <v>35.417999999999999</v>
      </c>
    </row>
    <row r="8" spans="1:21" x14ac:dyDescent="0.2">
      <c r="A8" t="s">
        <v>27</v>
      </c>
      <c r="B8">
        <f>15.4*0.25</f>
        <v>3.85</v>
      </c>
      <c r="C8">
        <f>15.4-B8</f>
        <v>11.55</v>
      </c>
      <c r="D8">
        <v>14.2</v>
      </c>
      <c r="E8">
        <v>266</v>
      </c>
      <c r="F8" s="1">
        <v>102.53658540000001</v>
      </c>
      <c r="G8">
        <v>500</v>
      </c>
      <c r="H8">
        <f t="shared" si="5"/>
        <v>259.5609756097561</v>
      </c>
      <c r="I8" s="2">
        <v>3.3029999999999999</v>
      </c>
      <c r="J8" s="2">
        <f t="shared" si="0"/>
        <v>26.846999999999998</v>
      </c>
      <c r="K8">
        <v>3.3</v>
      </c>
      <c r="L8" s="3">
        <f t="shared" si="1"/>
        <v>3.3029999999999999</v>
      </c>
      <c r="M8">
        <f t="shared" si="2"/>
        <v>13.423499999999999</v>
      </c>
      <c r="N8">
        <f t="shared" si="3"/>
        <v>1.65</v>
      </c>
      <c r="O8" s="3">
        <f t="shared" si="4"/>
        <v>3.3029999999999999</v>
      </c>
      <c r="P8" t="s">
        <v>25</v>
      </c>
      <c r="R8">
        <v>1.32</v>
      </c>
      <c r="S8">
        <v>205</v>
      </c>
      <c r="U8" s="2">
        <v>30.15</v>
      </c>
    </row>
    <row r="9" spans="1:21" x14ac:dyDescent="0.2">
      <c r="A9" t="s">
        <v>28</v>
      </c>
      <c r="B9">
        <f>16.4*0.25</f>
        <v>4.0999999999999996</v>
      </c>
      <c r="C9">
        <f>16.4-B9</f>
        <v>12.299999999999999</v>
      </c>
      <c r="D9">
        <v>13.6</v>
      </c>
      <c r="E9">
        <v>312</v>
      </c>
      <c r="F9" s="1">
        <v>103.0434783</v>
      </c>
      <c r="G9">
        <v>500</v>
      </c>
      <c r="H9">
        <f t="shared" si="5"/>
        <v>301.13043478260869</v>
      </c>
      <c r="I9" s="2">
        <v>5.96</v>
      </c>
      <c r="J9" s="2">
        <f t="shared" si="0"/>
        <v>64.791000000000011</v>
      </c>
      <c r="K9">
        <v>3.4</v>
      </c>
      <c r="L9" s="3">
        <f t="shared" si="1"/>
        <v>5.96</v>
      </c>
      <c r="M9">
        <f t="shared" si="2"/>
        <v>32.395500000000006</v>
      </c>
      <c r="N9">
        <f t="shared" si="3"/>
        <v>1.7</v>
      </c>
      <c r="O9" s="3">
        <f t="shared" si="4"/>
        <v>5.96</v>
      </c>
      <c r="P9" t="s">
        <v>25</v>
      </c>
      <c r="R9">
        <v>2.5</v>
      </c>
      <c r="S9">
        <v>230</v>
      </c>
      <c r="U9" s="2">
        <v>70.751000000000005</v>
      </c>
    </row>
    <row r="10" spans="1:21" x14ac:dyDescent="0.2">
      <c r="A10" t="s">
        <v>29</v>
      </c>
      <c r="B10">
        <f>19.1*0.25</f>
        <v>4.7750000000000004</v>
      </c>
      <c r="C10">
        <f>19.1-B10</f>
        <v>14.325000000000001</v>
      </c>
      <c r="D10">
        <v>16.5</v>
      </c>
      <c r="E10">
        <v>317</v>
      </c>
      <c r="F10" s="1">
        <v>108.1447964</v>
      </c>
      <c r="G10">
        <v>500</v>
      </c>
      <c r="H10">
        <f t="shared" si="5"/>
        <v>303.87782805429862</v>
      </c>
      <c r="I10" s="2">
        <v>6.0839999999999996</v>
      </c>
      <c r="J10" s="2">
        <f t="shared" si="0"/>
        <v>68.096000000000004</v>
      </c>
      <c r="K10">
        <v>3.9</v>
      </c>
      <c r="L10" s="3">
        <f t="shared" si="1"/>
        <v>6.0839999999999996</v>
      </c>
      <c r="M10">
        <f t="shared" si="2"/>
        <v>34.048000000000002</v>
      </c>
      <c r="N10">
        <f t="shared" si="3"/>
        <v>1.95</v>
      </c>
      <c r="O10" s="3">
        <f t="shared" si="4"/>
        <v>6.0839999999999996</v>
      </c>
      <c r="P10" t="s">
        <v>25</v>
      </c>
      <c r="R10">
        <v>2.9</v>
      </c>
      <c r="S10">
        <v>221</v>
      </c>
      <c r="U10" s="2">
        <v>74.180000000000007</v>
      </c>
    </row>
    <row r="11" spans="1:21" x14ac:dyDescent="0.2">
      <c r="A11" t="s">
        <v>30</v>
      </c>
      <c r="B11">
        <f>17.5*0.25</f>
        <v>4.375</v>
      </c>
      <c r="C11">
        <f>17.5-B11</f>
        <v>13.125</v>
      </c>
      <c r="D11">
        <v>24.8</v>
      </c>
      <c r="E11">
        <v>328</v>
      </c>
      <c r="F11" s="1">
        <v>119.14893619999999</v>
      </c>
      <c r="G11">
        <v>500</v>
      </c>
      <c r="H11">
        <f t="shared" si="5"/>
        <v>325.02127659574467</v>
      </c>
      <c r="I11" s="2">
        <v>3.738</v>
      </c>
      <c r="J11" s="2">
        <f t="shared" si="0"/>
        <v>34.788000000000004</v>
      </c>
      <c r="K11">
        <v>4</v>
      </c>
      <c r="L11" s="3">
        <f t="shared" si="1"/>
        <v>3.738</v>
      </c>
      <c r="M11">
        <f t="shared" si="2"/>
        <v>17.394000000000002</v>
      </c>
      <c r="N11">
        <f t="shared" si="3"/>
        <v>2</v>
      </c>
      <c r="O11" s="3">
        <f t="shared" si="4"/>
        <v>3.738</v>
      </c>
      <c r="P11" t="s">
        <v>20</v>
      </c>
      <c r="R11">
        <v>0.7</v>
      </c>
      <c r="S11">
        <v>235</v>
      </c>
      <c r="U11" s="2">
        <v>38.526000000000003</v>
      </c>
    </row>
    <row r="12" spans="1:21" x14ac:dyDescent="0.2">
      <c r="A12" t="s">
        <v>31</v>
      </c>
      <c r="B12">
        <f>15.3*0.25</f>
        <v>3.8250000000000002</v>
      </c>
      <c r="C12">
        <f>15.3-B12</f>
        <v>11.475000000000001</v>
      </c>
      <c r="D12">
        <v>14.6</v>
      </c>
      <c r="E12">
        <v>296</v>
      </c>
      <c r="F12" s="1">
        <v>84.182266010000006</v>
      </c>
      <c r="G12">
        <v>500</v>
      </c>
      <c r="H12">
        <f t="shared" si="5"/>
        <v>283.2463054187192</v>
      </c>
      <c r="I12" s="2">
        <v>5.0490000000000004</v>
      </c>
      <c r="J12" s="2">
        <f t="shared" si="0"/>
        <v>22.144000000000002</v>
      </c>
      <c r="K12">
        <v>3.3</v>
      </c>
      <c r="L12" s="3">
        <f t="shared" si="1"/>
        <v>5.0490000000000004</v>
      </c>
      <c r="M12">
        <f t="shared" si="2"/>
        <v>11.072000000000001</v>
      </c>
      <c r="N12">
        <f t="shared" si="3"/>
        <v>1.65</v>
      </c>
      <c r="O12" s="3">
        <f t="shared" si="4"/>
        <v>5.0490000000000004</v>
      </c>
      <c r="P12" t="s">
        <v>25</v>
      </c>
      <c r="R12" s="1">
        <v>2.589</v>
      </c>
      <c r="S12">
        <v>203</v>
      </c>
      <c r="U12" s="2">
        <v>27.193000000000001</v>
      </c>
    </row>
    <row r="13" spans="1:21" x14ac:dyDescent="0.2">
      <c r="A13" t="s">
        <v>32</v>
      </c>
      <c r="B13">
        <f>19.6*0.25</f>
        <v>4.9000000000000004</v>
      </c>
      <c r="C13">
        <f>19.6-B13</f>
        <v>14.700000000000001</v>
      </c>
      <c r="D13">
        <v>17.3</v>
      </c>
      <c r="E13">
        <v>292</v>
      </c>
      <c r="F13" s="1">
        <v>104.4017094</v>
      </c>
      <c r="G13">
        <v>500</v>
      </c>
      <c r="H13">
        <f t="shared" si="5"/>
        <v>285.88888888888891</v>
      </c>
      <c r="I13" s="2">
        <v>1.573</v>
      </c>
      <c r="J13" s="2">
        <f t="shared" si="0"/>
        <v>30.606999999999999</v>
      </c>
      <c r="K13">
        <v>3.4</v>
      </c>
      <c r="L13" s="3">
        <f t="shared" si="1"/>
        <v>1.573</v>
      </c>
      <c r="M13">
        <f t="shared" si="2"/>
        <v>15.3035</v>
      </c>
      <c r="N13">
        <f t="shared" si="3"/>
        <v>1.7</v>
      </c>
      <c r="O13" s="3">
        <f t="shared" si="4"/>
        <v>1.573</v>
      </c>
      <c r="P13" t="s">
        <v>25</v>
      </c>
      <c r="R13">
        <v>1.43</v>
      </c>
      <c r="S13">
        <v>234</v>
      </c>
      <c r="U13" s="2">
        <v>32.18</v>
      </c>
    </row>
    <row r="14" spans="1:21" x14ac:dyDescent="0.2">
      <c r="A14" t="s">
        <v>33</v>
      </c>
      <c r="B14">
        <v>4</v>
      </c>
      <c r="C14">
        <v>12</v>
      </c>
      <c r="D14">
        <v>14.4</v>
      </c>
      <c r="E14">
        <v>297</v>
      </c>
      <c r="F14" s="1">
        <v>109.06382979999999</v>
      </c>
      <c r="G14">
        <v>500</v>
      </c>
      <c r="H14">
        <f t="shared" si="5"/>
        <v>285.80851063829789</v>
      </c>
      <c r="I14" s="2">
        <v>6.1879999999999997</v>
      </c>
      <c r="J14" s="2">
        <f t="shared" si="0"/>
        <v>49.355999999999995</v>
      </c>
      <c r="K14">
        <v>3.9</v>
      </c>
      <c r="L14" s="3">
        <f t="shared" si="1"/>
        <v>6.1879999999999997</v>
      </c>
      <c r="M14">
        <f t="shared" si="2"/>
        <v>24.677999999999997</v>
      </c>
      <c r="N14">
        <f t="shared" si="3"/>
        <v>1.95</v>
      </c>
      <c r="O14" s="3">
        <f t="shared" si="4"/>
        <v>6.1879999999999997</v>
      </c>
      <c r="P14" t="s">
        <v>25</v>
      </c>
      <c r="R14">
        <v>2.63</v>
      </c>
      <c r="S14">
        <v>235</v>
      </c>
      <c r="U14" s="2">
        <v>55.543999999999997</v>
      </c>
    </row>
    <row r="15" spans="1:21" x14ac:dyDescent="0.2">
      <c r="A15" t="s">
        <v>34</v>
      </c>
      <c r="B15">
        <f>12.1*0.25</f>
        <v>3.0249999999999999</v>
      </c>
      <c r="C15">
        <f>12.1-B15</f>
        <v>9.0749999999999993</v>
      </c>
      <c r="D15">
        <v>13.3</v>
      </c>
      <c r="E15">
        <v>314</v>
      </c>
      <c r="F15" s="1">
        <v>100.3482587</v>
      </c>
      <c r="G15">
        <v>500</v>
      </c>
      <c r="H15">
        <f t="shared" si="5"/>
        <v>303.20398009950247</v>
      </c>
      <c r="I15" s="2">
        <v>5.95</v>
      </c>
      <c r="J15" s="2">
        <f t="shared" si="0"/>
        <v>35.440999999999995</v>
      </c>
      <c r="K15">
        <v>3.3</v>
      </c>
      <c r="L15" s="3">
        <f t="shared" si="1"/>
        <v>5.95</v>
      </c>
      <c r="M15">
        <f t="shared" si="2"/>
        <v>17.720499999999998</v>
      </c>
      <c r="N15">
        <f t="shared" si="3"/>
        <v>1.65</v>
      </c>
      <c r="O15" s="3">
        <f t="shared" si="4"/>
        <v>5.95</v>
      </c>
      <c r="P15" t="s">
        <v>25</v>
      </c>
      <c r="R15">
        <v>2.17</v>
      </c>
      <c r="S15">
        <v>201</v>
      </c>
      <c r="U15" s="2">
        <v>41.390999999999998</v>
      </c>
    </row>
    <row r="16" spans="1:21" x14ac:dyDescent="0.2">
      <c r="A16" t="s">
        <v>35</v>
      </c>
      <c r="B16">
        <f>19.1*0.25</f>
        <v>4.7750000000000004</v>
      </c>
      <c r="C16">
        <f>19.1-B16</f>
        <v>14.325000000000001</v>
      </c>
      <c r="D16">
        <v>21.6</v>
      </c>
      <c r="E16">
        <v>294</v>
      </c>
      <c r="F16" s="1">
        <v>93.8961039</v>
      </c>
      <c r="G16">
        <v>500</v>
      </c>
      <c r="H16">
        <f t="shared" si="5"/>
        <v>284.95238095238096</v>
      </c>
      <c r="I16" s="2">
        <v>4.8179999999999996</v>
      </c>
      <c r="J16" s="2">
        <f t="shared" si="0"/>
        <v>46.616</v>
      </c>
      <c r="K16">
        <v>3.9</v>
      </c>
      <c r="L16" s="3">
        <f t="shared" si="1"/>
        <v>4.8179999999999996</v>
      </c>
      <c r="M16">
        <f t="shared" si="2"/>
        <v>23.308</v>
      </c>
      <c r="N16">
        <f t="shared" si="3"/>
        <v>1.95</v>
      </c>
      <c r="O16" s="3">
        <f t="shared" si="4"/>
        <v>4.8179999999999996</v>
      </c>
      <c r="P16" t="s">
        <v>25</v>
      </c>
      <c r="R16">
        <v>2.09</v>
      </c>
      <c r="S16">
        <v>231</v>
      </c>
      <c r="U16" s="2">
        <v>51.433999999999997</v>
      </c>
    </row>
    <row r="17" spans="1:21" x14ac:dyDescent="0.2">
      <c r="A17" t="s">
        <v>36</v>
      </c>
      <c r="B17">
        <f>16.4*0.25</f>
        <v>4.0999999999999996</v>
      </c>
      <c r="C17">
        <f>16.4-B17</f>
        <v>12.299999999999999</v>
      </c>
      <c r="D17">
        <v>15.2</v>
      </c>
      <c r="E17">
        <v>317</v>
      </c>
      <c r="F17" s="1">
        <v>116.5957447</v>
      </c>
      <c r="G17">
        <v>500</v>
      </c>
      <c r="H17">
        <f t="shared" si="5"/>
        <v>307.21276595744683</v>
      </c>
      <c r="I17" s="2">
        <v>4.383</v>
      </c>
      <c r="J17" s="2">
        <f t="shared" si="0"/>
        <v>40.385999999999996</v>
      </c>
      <c r="K17">
        <v>4.2</v>
      </c>
      <c r="L17" s="3">
        <f t="shared" si="1"/>
        <v>4.383</v>
      </c>
      <c r="M17">
        <f t="shared" si="2"/>
        <v>20.192999999999998</v>
      </c>
      <c r="N17">
        <f t="shared" si="3"/>
        <v>2.1</v>
      </c>
      <c r="O17" s="3">
        <f t="shared" si="4"/>
        <v>4.383</v>
      </c>
      <c r="P17" t="s">
        <v>25</v>
      </c>
      <c r="R17">
        <v>2.2999999999999998</v>
      </c>
      <c r="S17">
        <v>235</v>
      </c>
      <c r="U17" s="2">
        <v>44.768999999999998</v>
      </c>
    </row>
    <row r="18" spans="1:21" x14ac:dyDescent="0.2">
      <c r="A18" t="s">
        <v>37</v>
      </c>
      <c r="B18">
        <v>3.8</v>
      </c>
      <c r="C18">
        <f>15.2-B18</f>
        <v>11.399999999999999</v>
      </c>
      <c r="D18">
        <v>14.6</v>
      </c>
      <c r="E18">
        <v>279</v>
      </c>
      <c r="F18">
        <v>110</v>
      </c>
      <c r="G18">
        <v>500</v>
      </c>
      <c r="H18">
        <f t="shared" si="5"/>
        <v>264.59322033898303</v>
      </c>
      <c r="I18" s="4">
        <v>1.544</v>
      </c>
      <c r="J18" s="2">
        <f t="shared" si="0"/>
        <v>24.486000000000001</v>
      </c>
      <c r="K18">
        <v>3.4</v>
      </c>
      <c r="L18" s="3">
        <f t="shared" si="1"/>
        <v>1.544</v>
      </c>
      <c r="M18">
        <f>J18/2</f>
        <v>12.243</v>
      </c>
      <c r="N18">
        <f t="shared" si="3"/>
        <v>1.7</v>
      </c>
      <c r="O18" s="3">
        <f t="shared" si="4"/>
        <v>1.544</v>
      </c>
      <c r="P18" t="s">
        <v>20</v>
      </c>
      <c r="R18">
        <v>3.4</v>
      </c>
      <c r="S18">
        <v>236</v>
      </c>
      <c r="U18" s="2">
        <v>26.03</v>
      </c>
    </row>
    <row r="19" spans="1:21" x14ac:dyDescent="0.2">
      <c r="A19" t="s">
        <v>38</v>
      </c>
      <c r="B19">
        <f>12.6*0.25</f>
        <v>3.15</v>
      </c>
      <c r="C19">
        <f>12.6-B19</f>
        <v>9.4499999999999993</v>
      </c>
      <c r="D19">
        <v>14.1</v>
      </c>
      <c r="E19">
        <v>294</v>
      </c>
      <c r="F19" s="1">
        <v>85.556521739999994</v>
      </c>
      <c r="G19">
        <v>500</v>
      </c>
      <c r="H19">
        <f t="shared" si="5"/>
        <v>286.26956521739129</v>
      </c>
      <c r="I19" s="2">
        <v>1.49</v>
      </c>
      <c r="J19" s="2">
        <f t="shared" ref="J19:J21" si="6">U19-I19</f>
        <v>35.100999999999999</v>
      </c>
      <c r="K19">
        <v>4</v>
      </c>
      <c r="L19" s="3">
        <f t="shared" ref="L19:L21" si="7">I19</f>
        <v>1.49</v>
      </c>
      <c r="M19">
        <f t="shared" ref="M19:M21" si="8">J19/2</f>
        <v>17.5505</v>
      </c>
      <c r="N19">
        <v>2</v>
      </c>
      <c r="O19" s="3">
        <f t="shared" ref="O19:O21" si="9">I19</f>
        <v>1.49</v>
      </c>
      <c r="P19" t="s">
        <v>20</v>
      </c>
      <c r="R19" s="1">
        <v>1.778</v>
      </c>
      <c r="S19">
        <v>230</v>
      </c>
      <c r="U19" s="2">
        <v>36.591000000000001</v>
      </c>
    </row>
    <row r="20" spans="1:21" x14ac:dyDescent="0.2">
      <c r="A20" t="s">
        <v>39</v>
      </c>
      <c r="B20">
        <v>3.2</v>
      </c>
      <c r="C20">
        <f>12.8-B20</f>
        <v>9.6000000000000014</v>
      </c>
      <c r="D20">
        <v>10.7</v>
      </c>
      <c r="E20">
        <v>296</v>
      </c>
      <c r="F20" s="1">
        <v>105.6034483</v>
      </c>
      <c r="G20">
        <v>500</v>
      </c>
      <c r="H20">
        <f t="shared" si="5"/>
        <v>280.48275862068965</v>
      </c>
      <c r="I20" s="2">
        <v>1.66</v>
      </c>
      <c r="J20" s="2">
        <f t="shared" si="6"/>
        <v>17.792999999999999</v>
      </c>
      <c r="K20">
        <v>3.3</v>
      </c>
      <c r="L20" s="3">
        <f t="shared" si="7"/>
        <v>1.66</v>
      </c>
      <c r="M20">
        <f>J20/2</f>
        <v>8.8964999999999996</v>
      </c>
      <c r="N20">
        <f>K20/2</f>
        <v>1.65</v>
      </c>
      <c r="O20" s="3">
        <f t="shared" si="9"/>
        <v>1.66</v>
      </c>
      <c r="P20" t="s">
        <v>20</v>
      </c>
      <c r="R20">
        <v>3.6</v>
      </c>
      <c r="S20">
        <v>232</v>
      </c>
      <c r="U20">
        <v>19.452999999999999</v>
      </c>
    </row>
    <row r="21" spans="1:21" x14ac:dyDescent="0.2">
      <c r="A21" t="s">
        <v>40</v>
      </c>
      <c r="B21">
        <f>17.2*0.25</f>
        <v>4.3</v>
      </c>
      <c r="C21">
        <f>17.2-B21</f>
        <v>12.899999999999999</v>
      </c>
      <c r="D21">
        <v>17.3</v>
      </c>
      <c r="E21">
        <v>297</v>
      </c>
      <c r="F21" s="1">
        <v>103.86266089999999</v>
      </c>
      <c r="G21">
        <v>500</v>
      </c>
      <c r="H21">
        <f t="shared" si="5"/>
        <v>281.54935622317595</v>
      </c>
      <c r="I21" s="2">
        <v>3.4729999999999999</v>
      </c>
      <c r="J21" s="2">
        <f t="shared" si="6"/>
        <v>25.82</v>
      </c>
      <c r="K21">
        <v>3.6</v>
      </c>
      <c r="L21" s="3">
        <f t="shared" si="7"/>
        <v>3.4729999999999999</v>
      </c>
      <c r="M21">
        <f t="shared" si="8"/>
        <v>12.91</v>
      </c>
      <c r="N21">
        <v>2</v>
      </c>
      <c r="O21" s="3">
        <f t="shared" si="9"/>
        <v>3.4729999999999999</v>
      </c>
      <c r="P21" t="s">
        <v>20</v>
      </c>
      <c r="R21">
        <v>3.6</v>
      </c>
      <c r="S21">
        <v>233</v>
      </c>
      <c r="U21" s="2">
        <v>29.292999999999999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Migliore  Nicolo</dc:creator>
  <cp:lastModifiedBy>Migliore  Nicolo</cp:lastModifiedBy>
  <dcterms:created xsi:type="dcterms:W3CDTF">2026-01-23T15:20:20Z</dcterms:created>
  <dcterms:modified xsi:type="dcterms:W3CDTF">2026-03-03T10:12:05Z</dcterms:modified>
</cp:coreProperties>
</file>