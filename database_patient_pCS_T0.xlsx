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omigliore/Desktop/TESI/modellimatematici/pbuts_model/"/>
    </mc:Choice>
  </mc:AlternateContent>
  <xr:revisionPtr revIDLastSave="0" documentId="13_ncr:1_{6135CF79-BAD4-3849-98C1-7547F8F7C821}" xr6:coauthVersionLast="47" xr6:coauthVersionMax="47" xr10:uidLastSave="{00000000-0000-0000-0000-000000000000}"/>
  <bookViews>
    <workbookView xWindow="0" yWindow="0" windowWidth="28800" windowHeight="18000" xr2:uid="{6A2622D5-E3A6-A345-B31A-BC8006C080CE}"/>
  </bookViews>
  <sheets>
    <sheet name="Foglio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21" i="1"/>
  <c r="B21" i="1"/>
  <c r="C21" i="1" s="1"/>
  <c r="H20" i="1"/>
  <c r="B20" i="1"/>
  <c r="C20" i="1" s="1"/>
  <c r="H19" i="1"/>
  <c r="B19" i="1"/>
  <c r="C19" i="1" s="1"/>
  <c r="H18" i="1"/>
  <c r="B18" i="1"/>
  <c r="C18" i="1" s="1"/>
  <c r="H17" i="1"/>
  <c r="B17" i="1"/>
  <c r="C17" i="1" s="1"/>
  <c r="H16" i="1"/>
  <c r="B16" i="1"/>
  <c r="C16" i="1" s="1"/>
  <c r="H15" i="1"/>
  <c r="B15" i="1"/>
  <c r="C15" i="1" s="1"/>
  <c r="H14" i="1"/>
  <c r="B14" i="1"/>
  <c r="C14" i="1" s="1"/>
  <c r="H13" i="1"/>
  <c r="B13" i="1"/>
  <c r="C13" i="1" s="1"/>
  <c r="H12" i="1"/>
  <c r="C12" i="1"/>
  <c r="B12" i="1"/>
  <c r="H11" i="1"/>
  <c r="B11" i="1"/>
  <c r="C11" i="1" s="1"/>
  <c r="H10" i="1"/>
  <c r="C10" i="1"/>
  <c r="B10" i="1"/>
  <c r="H9" i="1"/>
  <c r="B9" i="1"/>
  <c r="C9" i="1" s="1"/>
  <c r="H8" i="1"/>
  <c r="B8" i="1"/>
  <c r="C8" i="1" s="1"/>
  <c r="H7" i="1"/>
  <c r="B7" i="1"/>
  <c r="C7" i="1" s="1"/>
  <c r="H6" i="1"/>
  <c r="B6" i="1"/>
  <c r="C6" i="1" s="1"/>
  <c r="H5" i="1"/>
  <c r="B5" i="1"/>
  <c r="C5" i="1" s="1"/>
  <c r="H4" i="1"/>
  <c r="C4" i="1"/>
  <c r="B4" i="1"/>
  <c r="H3" i="1"/>
  <c r="B3" i="1"/>
  <c r="C3" i="1" s="1"/>
  <c r="H2" i="1"/>
  <c r="C2" i="1"/>
  <c r="B2" i="1"/>
</calcChain>
</file>

<file path=xl/sharedStrings.xml><?xml version="1.0" encoding="utf-8"?>
<sst xmlns="http://schemas.openxmlformats.org/spreadsheetml/2006/main" count="59" uniqueCount="41">
  <si>
    <t>ID_Paziente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</si>
  <si>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</si>
  <si>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</si>
  <si>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</si>
  <si>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</si>
  <si>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</si>
  <si>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</si>
  <si>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</si>
  <si>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</si>
  <si>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</si>
  <si>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</si>
  <si>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</si>
  <si>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</si>
  <si>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</si>
  <si>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</si>
  <si>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M16</t>
  </si>
  <si>
    <t>M17</t>
  </si>
  <si>
    <t>M18</t>
  </si>
  <si>
    <t>M19</t>
  </si>
  <si>
    <t>M20</t>
  </si>
  <si>
    <t>M21</t>
  </si>
  <si>
    <t>Vpl0</t>
  </si>
  <si>
    <t>Vis0</t>
  </si>
  <si>
    <t>Vic</t>
  </si>
  <si>
    <t>Qp</t>
  </si>
  <si>
    <t>Quf</t>
  </si>
  <si>
    <t>Qd</t>
  </si>
  <si>
    <t>Qr</t>
  </si>
  <si>
    <t>Tpl0</t>
  </si>
  <si>
    <t>PTpl0</t>
  </si>
  <si>
    <t>Ppl0</t>
  </si>
  <si>
    <t>Tis0</t>
  </si>
  <si>
    <t>PTis0</t>
  </si>
  <si>
    <t>Pis0</t>
  </si>
  <si>
    <t>Tic0</t>
  </si>
  <si>
    <t>Modello_Filtro</t>
  </si>
  <si>
    <t>Calo Peso(mL)</t>
  </si>
  <si>
    <t>Tempo di dialisi</t>
  </si>
  <si>
    <t>Tpl_tot [p-CS]</t>
  </si>
  <si>
    <t>Solacea21H</t>
  </si>
  <si>
    <t>Fx100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</si>
</sst>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3" fontId="0" fillId="0" borderId="0" xfId="0" applyNumberFormat="1"/>
    <xf numFmtId="164" fontId="1" fillId="2" borderId="1" xfId="1" applyNumberFormat="1" applyFill="1" applyBorder="1"/>
    <xf numFmtId="164" fontId="1" fillId="2" borderId="2" xfId="1" applyNumberFormat="1" applyFill="1" applyBorder="1"/>
    <xf numFmtId="164" fontId="1" fillId="3" borderId="2" xfId="1" applyNumberFormat="1" applyFill="1" applyBorder="1"/>
    <xf numFmtId="164" fontId="1" fillId="3" borderId="1" xfId="1" applyNumberFormat="1" applyFill="1" applyBorder="1"/>
    <xf numFmtId="164" fontId="0" fillId="0" borderId="0" xfId="0" applyNumberFormat="1"/>
  </cellXfs>
  <cellStyles count="2">
    <cellStyle name="Normale" xfId="0" builtinId="0"/>
    <cellStyle name="Normale 2" xfId="1" xr:uid="{0285ED18-9C12-484D-B8F3-5C93A3B73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76C6-A2F4-FB44-9EFB-7905EA1D21E6}">
  <dimension ref="A1:U21"/>
  <sheetViews>
    <sheetView tabSelected="1" zoomScale="125" workbookViewId="0">
      <selection activeCell="N24" sqref="N24"/>
    </sheetView>
  </sheetViews>
  <sheetFormatPr baseColWidth="10" defaultRowHeight="16" x14ac:dyDescent="0.2"/>
  <sheetData>
    <row r="1" spans="1:21" ht="17" thickBot="1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R1" t="s">
        <v>36</v>
      </c>
      <c r="S1" t="s">
        <v>37</v>
      </c>
      <c r="U1" t="s">
        <v>38</v>
      </c>
    </row>
    <row r="2" spans="1:21" ht="17" thickBot="1" x14ac:dyDescent="0.25">
      <c r="A2" t="s">
        <v>1</v>
      </c>
      <c r="B2">
        <f>17.7*0.25</f>
        <v>4.4249999999999998</v>
      </c>
      <c r="C2">
        <f>17.7-B2</f>
        <v>13.274999999999999</v>
      </c>
      <c r="D2">
        <v>18.600000000000001</v>
      </c>
      <c r="E2">
        <v>307</v>
      </c>
      <c r="F2" s="1">
        <v>109.1324201</v>
      </c>
      <c r="G2">
        <v>500</v>
      </c>
      <c r="H2">
        <f>F2-(R2*1000/S2)</f>
        <v>102.28310503150685</v>
      </c>
      <c r="I2" s="4">
        <v>4.2060000000000004</v>
      </c>
      <c r="J2" s="6">
        <f>U2-I2</f>
        <v>42.267999999999994</v>
      </c>
      <c r="K2">
        <v>3.1</v>
      </c>
      <c r="L2" s="4">
        <v>4.2060000000000004</v>
      </c>
      <c r="M2">
        <f>J2/2</f>
        <v>21.133999999999997</v>
      </c>
      <c r="N2">
        <f>K2/2</f>
        <v>1.55</v>
      </c>
      <c r="O2" s="4">
        <v>4.2060000000000004</v>
      </c>
      <c r="P2" t="s">
        <v>39</v>
      </c>
      <c r="R2">
        <v>1.5</v>
      </c>
      <c r="S2">
        <v>219</v>
      </c>
      <c r="U2" s="2">
        <v>46.473999999999997</v>
      </c>
    </row>
    <row r="3" spans="1:21" ht="17" thickBot="1" x14ac:dyDescent="0.25">
      <c r="A3" t="s">
        <v>2</v>
      </c>
      <c r="B3">
        <f>17*0.25</f>
        <v>4.25</v>
      </c>
      <c r="C3">
        <f>17-B3</f>
        <v>12.75</v>
      </c>
      <c r="D3">
        <v>21.6</v>
      </c>
      <c r="E3">
        <v>314</v>
      </c>
      <c r="F3" s="1">
        <v>95.575221240000005</v>
      </c>
      <c r="G3">
        <v>500</v>
      </c>
      <c r="H3">
        <f t="shared" ref="H3:H21" si="0">F3-(R3*1000/S3)</f>
        <v>81.415929204601781</v>
      </c>
      <c r="I3" s="5">
        <v>4.4210000000000003</v>
      </c>
      <c r="J3" s="6">
        <f t="shared" ref="J3:J21" si="1">U3-I3</f>
        <v>47.509</v>
      </c>
      <c r="K3">
        <v>3.8</v>
      </c>
      <c r="L3" s="5">
        <v>4.4210000000000003</v>
      </c>
      <c r="M3">
        <f t="shared" ref="M3:M21" si="2">J3/2</f>
        <v>23.7545</v>
      </c>
      <c r="N3">
        <f t="shared" ref="N3:N21" si="3">K3/2</f>
        <v>1.9</v>
      </c>
      <c r="O3" s="5">
        <v>4.4210000000000003</v>
      </c>
      <c r="P3" t="s">
        <v>39</v>
      </c>
      <c r="R3">
        <v>3.2</v>
      </c>
      <c r="S3">
        <v>226</v>
      </c>
      <c r="U3" s="2">
        <v>51.93</v>
      </c>
    </row>
    <row r="4" spans="1:21" ht="17" thickBot="1" x14ac:dyDescent="0.25">
      <c r="A4" t="s">
        <v>3</v>
      </c>
      <c r="B4">
        <f>21.8*0.25</f>
        <v>5.45</v>
      </c>
      <c r="C4">
        <f>21.8-B4</f>
        <v>16.350000000000001</v>
      </c>
      <c r="D4">
        <v>19.600000000000001</v>
      </c>
      <c r="E4">
        <v>312</v>
      </c>
      <c r="F4" s="1">
        <v>120.5128205</v>
      </c>
      <c r="G4">
        <v>500</v>
      </c>
      <c r="H4">
        <f t="shared" si="0"/>
        <v>108.1196581068376</v>
      </c>
      <c r="I4" s="5">
        <v>5.1769999999999996</v>
      </c>
      <c r="J4" s="6">
        <f t="shared" si="1"/>
        <v>40.868000000000002</v>
      </c>
      <c r="K4">
        <v>3.4</v>
      </c>
      <c r="L4" s="5">
        <v>5.1769999999999996</v>
      </c>
      <c r="M4">
        <f t="shared" si="2"/>
        <v>20.434000000000001</v>
      </c>
      <c r="N4">
        <f t="shared" si="3"/>
        <v>1.7</v>
      </c>
      <c r="O4" s="5">
        <v>5.1769999999999996</v>
      </c>
      <c r="P4" t="s">
        <v>39</v>
      </c>
      <c r="R4">
        <v>2.9</v>
      </c>
      <c r="S4">
        <v>234</v>
      </c>
      <c r="U4" s="2">
        <v>46.045000000000002</v>
      </c>
    </row>
    <row r="5" spans="1:21" ht="17" thickBot="1" x14ac:dyDescent="0.25">
      <c r="A5" t="s">
        <v>4</v>
      </c>
      <c r="B5">
        <f>15*0.25</f>
        <v>3.75</v>
      </c>
      <c r="C5">
        <f>15-B5</f>
        <v>11.25</v>
      </c>
      <c r="D5">
        <v>17.2</v>
      </c>
      <c r="E5">
        <v>291</v>
      </c>
      <c r="F5" s="1">
        <v>81.343283580000005</v>
      </c>
      <c r="G5">
        <v>500</v>
      </c>
      <c r="H5">
        <f t="shared" si="0"/>
        <v>72.636815918308457</v>
      </c>
      <c r="I5" s="5">
        <v>1.052</v>
      </c>
      <c r="J5" s="6">
        <f t="shared" si="1"/>
        <v>16.904</v>
      </c>
      <c r="K5">
        <v>3.8</v>
      </c>
      <c r="L5" s="5">
        <v>1.052</v>
      </c>
      <c r="M5">
        <f t="shared" si="2"/>
        <v>8.452</v>
      </c>
      <c r="N5">
        <f t="shared" si="3"/>
        <v>1.9</v>
      </c>
      <c r="O5" s="5">
        <v>1.052</v>
      </c>
      <c r="P5" t="s">
        <v>39</v>
      </c>
      <c r="R5">
        <v>1.75</v>
      </c>
      <c r="S5">
        <v>201</v>
      </c>
      <c r="U5" s="2">
        <v>17.956</v>
      </c>
    </row>
    <row r="6" spans="1:21" ht="17" thickBot="1" x14ac:dyDescent="0.25">
      <c r="A6" t="s">
        <v>5</v>
      </c>
      <c r="B6" s="1">
        <f>16.1*0.25</f>
        <v>4.0250000000000004</v>
      </c>
      <c r="C6" s="1">
        <f>16.1-B6</f>
        <v>12.075000000000001</v>
      </c>
      <c r="D6">
        <v>19.7</v>
      </c>
      <c r="E6">
        <v>294</v>
      </c>
      <c r="F6" s="1">
        <v>95.258620690000001</v>
      </c>
      <c r="G6">
        <v>500</v>
      </c>
      <c r="H6">
        <f t="shared" si="0"/>
        <v>82.327586207241382</v>
      </c>
      <c r="I6" s="5">
        <v>4.1870000000000003</v>
      </c>
      <c r="J6" s="6">
        <f t="shared" si="1"/>
        <v>64.799000000000007</v>
      </c>
      <c r="K6">
        <v>3.3</v>
      </c>
      <c r="L6" s="5">
        <v>4.1870000000000003</v>
      </c>
      <c r="M6">
        <f t="shared" si="2"/>
        <v>32.399500000000003</v>
      </c>
      <c r="N6">
        <f t="shared" si="3"/>
        <v>1.65</v>
      </c>
      <c r="O6" s="5">
        <v>4.1870000000000003</v>
      </c>
      <c r="P6" t="s">
        <v>40</v>
      </c>
      <c r="R6">
        <v>3</v>
      </c>
      <c r="S6">
        <v>232</v>
      </c>
      <c r="U6" s="2">
        <v>68.986000000000004</v>
      </c>
    </row>
    <row r="7" spans="1:21" ht="17" thickBot="1" x14ac:dyDescent="0.25">
      <c r="A7" t="s">
        <v>6</v>
      </c>
      <c r="B7">
        <f>14.6*0.25</f>
        <v>3.65</v>
      </c>
      <c r="C7">
        <f>14.6-B7</f>
        <v>10.95</v>
      </c>
      <c r="D7">
        <v>14.6</v>
      </c>
      <c r="E7">
        <v>290</v>
      </c>
      <c r="F7" s="1">
        <v>105.45454549999999</v>
      </c>
      <c r="G7">
        <v>500</v>
      </c>
      <c r="H7">
        <f t="shared" si="0"/>
        <v>96.96969701515151</v>
      </c>
      <c r="I7" s="5">
        <v>3.9740000000000002</v>
      </c>
      <c r="J7" s="6">
        <f t="shared" si="1"/>
        <v>41.644000000000005</v>
      </c>
      <c r="K7">
        <v>3</v>
      </c>
      <c r="L7" s="5">
        <v>3.9740000000000002</v>
      </c>
      <c r="M7">
        <f t="shared" si="2"/>
        <v>20.822000000000003</v>
      </c>
      <c r="N7">
        <f t="shared" si="3"/>
        <v>1.5</v>
      </c>
      <c r="O7" s="5">
        <v>3.9740000000000002</v>
      </c>
      <c r="P7" t="s">
        <v>39</v>
      </c>
      <c r="R7">
        <v>1.68</v>
      </c>
      <c r="S7">
        <v>198</v>
      </c>
      <c r="U7" s="2">
        <v>45.618000000000002</v>
      </c>
    </row>
    <row r="8" spans="1:21" ht="17" thickBot="1" x14ac:dyDescent="0.25">
      <c r="A8" t="s">
        <v>7</v>
      </c>
      <c r="B8">
        <f>17.2*0.25</f>
        <v>4.3</v>
      </c>
      <c r="C8">
        <f>17.2-B8</f>
        <v>12.899999999999999</v>
      </c>
      <c r="D8">
        <v>17.5</v>
      </c>
      <c r="E8">
        <v>286</v>
      </c>
      <c r="F8" s="1">
        <v>89.565217390000001</v>
      </c>
      <c r="G8">
        <v>500</v>
      </c>
      <c r="H8">
        <f t="shared" si="0"/>
        <v>77.826086955217392</v>
      </c>
      <c r="I8" s="5">
        <v>6.0590000000000002</v>
      </c>
      <c r="J8" s="6">
        <f t="shared" si="1"/>
        <v>57.739000000000004</v>
      </c>
      <c r="K8">
        <v>3.4</v>
      </c>
      <c r="L8" s="5">
        <v>6.0590000000000002</v>
      </c>
      <c r="M8">
        <f t="shared" si="2"/>
        <v>28.869500000000002</v>
      </c>
      <c r="N8">
        <f t="shared" si="3"/>
        <v>1.7</v>
      </c>
      <c r="O8" s="5">
        <v>6.0590000000000002</v>
      </c>
      <c r="P8" t="s">
        <v>40</v>
      </c>
      <c r="R8">
        <v>2.7</v>
      </c>
      <c r="S8">
        <v>230</v>
      </c>
      <c r="U8" s="2">
        <v>63.798000000000002</v>
      </c>
    </row>
    <row r="9" spans="1:21" ht="17" thickBot="1" x14ac:dyDescent="0.25">
      <c r="A9" t="s">
        <v>8</v>
      </c>
      <c r="B9">
        <f>15.6*0.25</f>
        <v>3.9</v>
      </c>
      <c r="C9">
        <f>15.6-B9</f>
        <v>11.7</v>
      </c>
      <c r="D9">
        <v>14.1</v>
      </c>
      <c r="E9">
        <v>291</v>
      </c>
      <c r="F9" s="1">
        <v>90.131004369999999</v>
      </c>
      <c r="G9">
        <v>500</v>
      </c>
      <c r="H9">
        <f t="shared" si="0"/>
        <v>81.659388649475986</v>
      </c>
      <c r="I9" s="5">
        <v>7.431</v>
      </c>
      <c r="J9" s="6">
        <f t="shared" si="1"/>
        <v>40.202000000000005</v>
      </c>
      <c r="K9">
        <v>3.5</v>
      </c>
      <c r="L9" s="5">
        <v>7.431</v>
      </c>
      <c r="M9">
        <f t="shared" si="2"/>
        <v>20.101000000000003</v>
      </c>
      <c r="N9">
        <f t="shared" si="3"/>
        <v>1.75</v>
      </c>
      <c r="O9" s="5">
        <v>7.431</v>
      </c>
      <c r="P9" t="s">
        <v>40</v>
      </c>
      <c r="R9">
        <v>1.94</v>
      </c>
      <c r="S9">
        <v>229</v>
      </c>
      <c r="U9" s="2">
        <v>47.633000000000003</v>
      </c>
    </row>
    <row r="10" spans="1:21" ht="17" thickBot="1" x14ac:dyDescent="0.25">
      <c r="A10" t="s">
        <v>9</v>
      </c>
      <c r="B10">
        <f>18.4*0.25</f>
        <v>4.5999999999999996</v>
      </c>
      <c r="C10">
        <f>18.4-B10</f>
        <v>13.799999999999999</v>
      </c>
      <c r="D10">
        <v>18.100000000000001</v>
      </c>
      <c r="E10">
        <v>296</v>
      </c>
      <c r="F10" s="1">
        <v>84.848484850000006</v>
      </c>
      <c r="G10">
        <v>500</v>
      </c>
      <c r="H10">
        <f t="shared" si="0"/>
        <v>77.056277057792215</v>
      </c>
      <c r="I10" s="5">
        <v>0.01</v>
      </c>
      <c r="J10" s="6">
        <f t="shared" si="1"/>
        <v>0.73099999999999998</v>
      </c>
      <c r="K10">
        <v>4</v>
      </c>
      <c r="L10" s="5">
        <v>0.01</v>
      </c>
      <c r="M10">
        <f t="shared" si="2"/>
        <v>0.36549999999999999</v>
      </c>
      <c r="N10">
        <f t="shared" si="3"/>
        <v>2</v>
      </c>
      <c r="O10" s="5">
        <v>0.01</v>
      </c>
      <c r="P10" t="s">
        <v>40</v>
      </c>
      <c r="R10">
        <v>1.8</v>
      </c>
      <c r="S10">
        <v>231</v>
      </c>
      <c r="U10" s="2">
        <v>0.74099999999999999</v>
      </c>
    </row>
    <row r="11" spans="1:21" ht="17" thickBot="1" x14ac:dyDescent="0.25">
      <c r="A11" t="s">
        <v>10</v>
      </c>
      <c r="B11">
        <f>17.5*0.25</f>
        <v>4.375</v>
      </c>
      <c r="C11">
        <f>17.5-B11</f>
        <v>13.125</v>
      </c>
      <c r="D11">
        <v>24.3</v>
      </c>
      <c r="E11">
        <v>298</v>
      </c>
      <c r="F11" s="1">
        <v>117.8723404</v>
      </c>
      <c r="G11">
        <v>500</v>
      </c>
      <c r="H11">
        <f t="shared" si="0"/>
        <v>113.19148933617021</v>
      </c>
      <c r="I11" s="5">
        <v>6.6340000000000003</v>
      </c>
      <c r="J11" s="6">
        <f t="shared" si="1"/>
        <v>77.569999999999993</v>
      </c>
      <c r="K11">
        <v>3.8</v>
      </c>
      <c r="L11" s="5">
        <v>6.6340000000000003</v>
      </c>
      <c r="M11">
        <f t="shared" si="2"/>
        <v>38.784999999999997</v>
      </c>
      <c r="N11">
        <f t="shared" si="3"/>
        <v>1.9</v>
      </c>
      <c r="O11" s="5">
        <v>6.6340000000000003</v>
      </c>
      <c r="P11" t="s">
        <v>39</v>
      </c>
      <c r="R11">
        <v>1.1000000000000001</v>
      </c>
      <c r="S11">
        <v>235</v>
      </c>
      <c r="U11" s="2">
        <v>84.203999999999994</v>
      </c>
    </row>
    <row r="12" spans="1:21" ht="17" thickBot="1" x14ac:dyDescent="0.25">
      <c r="A12" t="s">
        <v>11</v>
      </c>
      <c r="B12">
        <f>16.2*0.25</f>
        <v>4.05</v>
      </c>
      <c r="C12">
        <f>16.2-B12</f>
        <v>12.149999999999999</v>
      </c>
      <c r="D12">
        <v>15.3</v>
      </c>
      <c r="E12">
        <v>294</v>
      </c>
      <c r="F12" s="1">
        <v>71.568627449999994</v>
      </c>
      <c r="G12">
        <v>500</v>
      </c>
      <c r="H12">
        <f t="shared" si="0"/>
        <v>59.313725489215678</v>
      </c>
      <c r="I12" s="5">
        <v>4.258</v>
      </c>
      <c r="J12" s="6">
        <f t="shared" si="1"/>
        <v>35.665999999999997</v>
      </c>
      <c r="K12">
        <v>3.3</v>
      </c>
      <c r="L12" s="5">
        <v>4.258</v>
      </c>
      <c r="M12">
        <f t="shared" si="2"/>
        <v>17.832999999999998</v>
      </c>
      <c r="N12">
        <f t="shared" si="3"/>
        <v>1.65</v>
      </c>
      <c r="O12" s="5">
        <v>4.258</v>
      </c>
      <c r="P12" t="s">
        <v>40</v>
      </c>
      <c r="R12">
        <v>2.5</v>
      </c>
      <c r="S12">
        <v>204</v>
      </c>
      <c r="U12" s="2">
        <v>39.923999999999999</v>
      </c>
    </row>
    <row r="13" spans="1:21" x14ac:dyDescent="0.2">
      <c r="A13" t="s">
        <v>12</v>
      </c>
      <c r="B13">
        <f>22*0.25</f>
        <v>5.5</v>
      </c>
      <c r="C13">
        <f>22-B13</f>
        <v>16.5</v>
      </c>
      <c r="D13">
        <v>19</v>
      </c>
      <c r="E13">
        <v>295</v>
      </c>
      <c r="F13" s="1">
        <v>96.551724140000005</v>
      </c>
      <c r="G13">
        <v>500</v>
      </c>
      <c r="H13">
        <f t="shared" si="0"/>
        <v>81.465517243448275</v>
      </c>
      <c r="I13" s="5">
        <v>1.0389999999999999</v>
      </c>
      <c r="J13" s="6">
        <f t="shared" si="1"/>
        <v>18.241</v>
      </c>
      <c r="K13">
        <v>3.2</v>
      </c>
      <c r="L13" s="5">
        <v>1.0389999999999999</v>
      </c>
      <c r="M13">
        <f t="shared" si="2"/>
        <v>9.1204999999999998</v>
      </c>
      <c r="N13">
        <f t="shared" si="3"/>
        <v>1.6</v>
      </c>
      <c r="O13" s="5">
        <v>1.0389999999999999</v>
      </c>
      <c r="P13" t="s">
        <v>40</v>
      </c>
      <c r="R13">
        <v>3.5</v>
      </c>
      <c r="S13">
        <v>232</v>
      </c>
      <c r="U13" s="3">
        <v>19.28</v>
      </c>
    </row>
    <row r="14" spans="1:21" x14ac:dyDescent="0.2">
      <c r="A14" t="s">
        <v>13</v>
      </c>
      <c r="B14">
        <f>14.9*0.25</f>
        <v>3.7250000000000001</v>
      </c>
      <c r="C14">
        <f>14.9-B14</f>
        <v>11.175000000000001</v>
      </c>
      <c r="D14">
        <v>15.1</v>
      </c>
      <c r="E14">
        <v>289</v>
      </c>
      <c r="F14" s="1">
        <v>115.0214592</v>
      </c>
      <c r="G14">
        <v>500</v>
      </c>
      <c r="H14">
        <f t="shared" si="0"/>
        <v>108.15450641030043</v>
      </c>
      <c r="I14" s="4">
        <v>13.233000000000001</v>
      </c>
      <c r="J14" s="6">
        <f t="shared" si="1"/>
        <v>87.557000000000002</v>
      </c>
      <c r="K14">
        <v>3.8</v>
      </c>
      <c r="L14" s="4">
        <v>13.233000000000001</v>
      </c>
      <c r="M14">
        <f t="shared" si="2"/>
        <v>43.778500000000001</v>
      </c>
      <c r="N14">
        <f t="shared" si="3"/>
        <v>1.9</v>
      </c>
      <c r="O14" s="4">
        <v>13.233000000000001</v>
      </c>
      <c r="P14" t="s">
        <v>40</v>
      </c>
      <c r="R14">
        <v>1.6</v>
      </c>
      <c r="S14">
        <v>233</v>
      </c>
      <c r="U14" s="3">
        <v>100.79</v>
      </c>
    </row>
    <row r="15" spans="1:21" x14ac:dyDescent="0.2">
      <c r="A15" t="s">
        <v>14</v>
      </c>
      <c r="B15">
        <f>12.6*0.25</f>
        <v>3.15</v>
      </c>
      <c r="C15">
        <f>12.6-B15</f>
        <v>9.4499999999999993</v>
      </c>
      <c r="D15">
        <v>12.6</v>
      </c>
      <c r="E15">
        <v>290</v>
      </c>
      <c r="F15" s="1">
        <v>102.955665</v>
      </c>
      <c r="G15">
        <v>500</v>
      </c>
      <c r="H15">
        <f t="shared" si="0"/>
        <v>95.07389160098522</v>
      </c>
      <c r="I15" s="4">
        <v>4.4029999999999996</v>
      </c>
      <c r="J15" s="6">
        <f t="shared" si="1"/>
        <v>42.137</v>
      </c>
      <c r="K15">
        <v>2.9</v>
      </c>
      <c r="L15" s="4">
        <v>4.4029999999999996</v>
      </c>
      <c r="M15">
        <f t="shared" si="2"/>
        <v>21.0685</v>
      </c>
      <c r="N15">
        <f t="shared" si="3"/>
        <v>1.45</v>
      </c>
      <c r="O15" s="4">
        <v>4.4029999999999996</v>
      </c>
      <c r="P15" t="s">
        <v>40</v>
      </c>
      <c r="R15">
        <v>1.6</v>
      </c>
      <c r="S15">
        <v>203</v>
      </c>
      <c r="U15" s="3">
        <v>46.54</v>
      </c>
    </row>
    <row r="16" spans="1:21" x14ac:dyDescent="0.2">
      <c r="A16" t="s">
        <v>15</v>
      </c>
      <c r="B16">
        <f>18*0.25</f>
        <v>4.5</v>
      </c>
      <c r="C16">
        <f>18-B16</f>
        <v>13.5</v>
      </c>
      <c r="D16">
        <v>19.7</v>
      </c>
      <c r="E16">
        <v>293</v>
      </c>
      <c r="F16" s="1">
        <v>81.115879829999997</v>
      </c>
      <c r="G16">
        <v>500</v>
      </c>
      <c r="H16">
        <f t="shared" si="0"/>
        <v>70.815450645450639</v>
      </c>
      <c r="I16" s="4">
        <v>5.665</v>
      </c>
      <c r="J16" s="6">
        <f t="shared" si="1"/>
        <v>70.196999999999989</v>
      </c>
      <c r="K16">
        <v>3.7</v>
      </c>
      <c r="L16" s="4">
        <v>5.665</v>
      </c>
      <c r="M16">
        <f t="shared" si="2"/>
        <v>35.098499999999994</v>
      </c>
      <c r="N16">
        <f t="shared" si="3"/>
        <v>1.85</v>
      </c>
      <c r="O16" s="4">
        <v>5.665</v>
      </c>
      <c r="P16" t="s">
        <v>40</v>
      </c>
      <c r="R16">
        <v>2.4</v>
      </c>
      <c r="S16">
        <v>233</v>
      </c>
      <c r="U16" s="3">
        <v>75.861999999999995</v>
      </c>
    </row>
    <row r="17" spans="1:21" x14ac:dyDescent="0.2">
      <c r="A17" t="s">
        <v>16</v>
      </c>
      <c r="B17">
        <f>15.2*0.25</f>
        <v>3.8</v>
      </c>
      <c r="C17">
        <f>15.2-B17</f>
        <v>11.399999999999999</v>
      </c>
      <c r="D17">
        <v>15.3</v>
      </c>
      <c r="E17">
        <v>313</v>
      </c>
      <c r="F17" s="1">
        <v>104.74137930000001</v>
      </c>
      <c r="G17">
        <v>500</v>
      </c>
      <c r="H17">
        <f t="shared" si="0"/>
        <v>95.689655162068973</v>
      </c>
      <c r="I17" s="4">
        <v>7.5259999999999998</v>
      </c>
      <c r="J17" s="6">
        <f t="shared" si="1"/>
        <v>92.034000000000006</v>
      </c>
      <c r="K17">
        <v>4.2</v>
      </c>
      <c r="L17" s="4">
        <v>7.5259999999999998</v>
      </c>
      <c r="M17">
        <f t="shared" si="2"/>
        <v>46.017000000000003</v>
      </c>
      <c r="N17">
        <f t="shared" si="3"/>
        <v>2.1</v>
      </c>
      <c r="O17" s="4">
        <v>7.5259999999999998</v>
      </c>
      <c r="P17" t="s">
        <v>40</v>
      </c>
      <c r="R17">
        <v>2.1</v>
      </c>
      <c r="S17">
        <v>232</v>
      </c>
      <c r="U17" s="3">
        <v>99.56</v>
      </c>
    </row>
    <row r="18" spans="1:21" x14ac:dyDescent="0.2">
      <c r="A18" t="s">
        <v>17</v>
      </c>
      <c r="B18">
        <f>14.9*0.25</f>
        <v>3.7250000000000001</v>
      </c>
      <c r="C18">
        <f>14.9-B18</f>
        <v>11.175000000000001</v>
      </c>
      <c r="D18">
        <v>15.5</v>
      </c>
      <c r="E18">
        <v>271</v>
      </c>
      <c r="F18" s="1">
        <v>80.972222220000006</v>
      </c>
      <c r="G18">
        <v>500</v>
      </c>
      <c r="H18">
        <f t="shared" si="0"/>
        <v>67.592592590370373</v>
      </c>
      <c r="I18" s="4">
        <v>2.4350000000000001</v>
      </c>
      <c r="J18" s="6">
        <f t="shared" si="1"/>
        <v>33.423999999999999</v>
      </c>
      <c r="K18">
        <v>3.6</v>
      </c>
      <c r="L18" s="4">
        <v>2.4350000000000001</v>
      </c>
      <c r="M18">
        <f t="shared" si="2"/>
        <v>16.712</v>
      </c>
      <c r="N18">
        <f t="shared" si="3"/>
        <v>1.8</v>
      </c>
      <c r="O18" s="4">
        <v>2.4350000000000001</v>
      </c>
      <c r="P18" t="s">
        <v>39</v>
      </c>
      <c r="R18">
        <v>2.89</v>
      </c>
      <c r="S18">
        <v>216</v>
      </c>
      <c r="U18" s="3">
        <v>35.859000000000002</v>
      </c>
    </row>
    <row r="19" spans="1:21" x14ac:dyDescent="0.2">
      <c r="A19" t="s">
        <v>18</v>
      </c>
      <c r="B19">
        <f>14.7*0.25</f>
        <v>3.6749999999999998</v>
      </c>
      <c r="C19">
        <f>14.7-B19</f>
        <v>11.024999999999999</v>
      </c>
      <c r="D19">
        <v>15.3</v>
      </c>
      <c r="E19">
        <v>280</v>
      </c>
      <c r="F19" s="1">
        <v>96.1038961</v>
      </c>
      <c r="G19">
        <v>500</v>
      </c>
      <c r="H19">
        <f t="shared" si="0"/>
        <v>83.54978354588745</v>
      </c>
      <c r="I19" s="4">
        <v>1.3320000000000001</v>
      </c>
      <c r="J19" s="6">
        <f t="shared" si="1"/>
        <v>19.713000000000001</v>
      </c>
      <c r="K19">
        <v>3.7</v>
      </c>
      <c r="L19" s="4">
        <v>1.3320000000000001</v>
      </c>
      <c r="M19">
        <f t="shared" si="2"/>
        <v>9.8565000000000005</v>
      </c>
      <c r="N19">
        <f t="shared" si="3"/>
        <v>1.85</v>
      </c>
      <c r="O19" s="4">
        <v>1.3320000000000001</v>
      </c>
      <c r="P19" t="s">
        <v>39</v>
      </c>
      <c r="R19">
        <v>2.9</v>
      </c>
      <c r="S19">
        <v>231</v>
      </c>
      <c r="U19" s="3">
        <v>21.045000000000002</v>
      </c>
    </row>
    <row r="20" spans="1:21" x14ac:dyDescent="0.2">
      <c r="A20" t="s">
        <v>19</v>
      </c>
      <c r="B20">
        <f>16.8*0.25</f>
        <v>4.2</v>
      </c>
      <c r="C20">
        <f>16.8-B20</f>
        <v>12.600000000000001</v>
      </c>
      <c r="D20">
        <v>18.7</v>
      </c>
      <c r="E20">
        <v>294</v>
      </c>
      <c r="F20" s="1">
        <v>106.3876652</v>
      </c>
      <c r="G20">
        <v>500</v>
      </c>
      <c r="H20">
        <f t="shared" si="0"/>
        <v>92.951541851982384</v>
      </c>
      <c r="I20" s="4">
        <v>4.3150000000000004</v>
      </c>
      <c r="J20" s="6">
        <f t="shared" si="1"/>
        <v>66.638999999999996</v>
      </c>
      <c r="K20">
        <v>3.5</v>
      </c>
      <c r="L20" s="4">
        <v>4.3150000000000004</v>
      </c>
      <c r="M20">
        <f t="shared" si="2"/>
        <v>33.319499999999998</v>
      </c>
      <c r="N20">
        <f t="shared" si="3"/>
        <v>1.75</v>
      </c>
      <c r="O20" s="4">
        <v>4.3150000000000004</v>
      </c>
      <c r="P20" t="s">
        <v>39</v>
      </c>
      <c r="R20">
        <v>3.05</v>
      </c>
      <c r="S20">
        <v>227</v>
      </c>
      <c r="U20" s="3">
        <v>70.953999999999994</v>
      </c>
    </row>
    <row r="21" spans="1:21" x14ac:dyDescent="0.2">
      <c r="A21" t="s">
        <v>20</v>
      </c>
      <c r="B21">
        <f>18.3*0.25</f>
        <v>4.5750000000000002</v>
      </c>
      <c r="C21">
        <f>18.3-B21</f>
        <v>13.725000000000001</v>
      </c>
      <c r="D21">
        <v>18.600000000000001</v>
      </c>
      <c r="E21">
        <v>296</v>
      </c>
      <c r="F21" s="1">
        <v>97.435897440000005</v>
      </c>
      <c r="G21">
        <v>500</v>
      </c>
      <c r="H21">
        <f t="shared" si="0"/>
        <v>89.316239320341879</v>
      </c>
      <c r="I21" s="4">
        <v>5.1639999999999997</v>
      </c>
      <c r="J21" s="6">
        <f t="shared" si="1"/>
        <v>76.588999999999999</v>
      </c>
      <c r="K21">
        <v>3.9</v>
      </c>
      <c r="L21" s="4">
        <v>5.1639999999999997</v>
      </c>
      <c r="M21">
        <f t="shared" si="2"/>
        <v>38.294499999999999</v>
      </c>
      <c r="N21">
        <f t="shared" si="3"/>
        <v>1.95</v>
      </c>
      <c r="O21" s="4">
        <v>5.1639999999999997</v>
      </c>
      <c r="P21" t="s">
        <v>39</v>
      </c>
      <c r="R21">
        <v>1.9</v>
      </c>
      <c r="S21">
        <v>234</v>
      </c>
      <c r="U21" s="3">
        <v>81.753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Migliore  Nicolo</dc:creator>
  <cp:lastModifiedBy>Migliore  Nicolo</cp:lastModifiedBy>
  <dcterms:created xsi:type="dcterms:W3CDTF">2026-01-30T09:05:57Z</dcterms:created>
  <dcterms:modified xsi:type="dcterms:W3CDTF">2026-01-30T09:59:47Z</dcterms:modified>
</cp:coreProperties>
</file>