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omigliore/Desktop/TESI/modellimatematici/pbuts_model/"/>
    </mc:Choice>
  </mc:AlternateContent>
  <xr:revisionPtr revIDLastSave="0" documentId="8_{D3D79512-6444-1743-8195-DD237998FA48}" xr6:coauthVersionLast="47" xr6:coauthVersionMax="47" xr10:uidLastSave="{00000000-0000-0000-0000-000000000000}"/>
  <bookViews>
    <workbookView xWindow="0" yWindow="500" windowWidth="28800" windowHeight="16140" xr2:uid="{AB8DF888-39C7-814C-9AC5-53BB99AA7E59}"/>
  </bookViews>
  <sheets>
    <sheet name="Foglio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<sst xmlns="http://schemas.openxmlformats.org/spreadsheetml/2006/main" count="59" uniqueCount="41">
  <si>
    <t>ID_Paziente</t>
  </si>
  <si>
    <t>Vpl0</t>
  </si>
  <si>
    <t>Vis0</t>
  </si>
  <si>
    <t>Vic</t>
  </si>
  <si>
    <t>Qp</t>
  </si>
  <si>
    <t>Quf</t>
  </si>
  <si>
    <t>Qd</t>
  </si>
  <si>
    <t>Qr</t>
  </si>
  <si>
    <t>Tpl0</t>
  </si>
  <si>
    <t>PTpl0</t>
  </si>
  <si>
    <t>Ppl0</t>
  </si>
  <si>
    <t>Tis0</t>
  </si>
  <si>
    <t>PTis0</t>
  </si>
  <si>
    <t>Pis0</t>
  </si>
  <si>
    <t>Tic0</t>
  </si>
  <si>
    <t>Modello_Filtro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</si>
  <si>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</si>
  <si>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</si>
  <si>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</si>
  <si>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</si>
  <si>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</si>
  <si>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</si>
  <si>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</si>
  <si>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</si>
  <si>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</si>
  <si>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</si>
  <si>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</si>
  <si>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</si>
  <si>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</si>
  <si>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</si>
  <si>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M16</t>
  </si>
  <si>
    <t>M17</t>
  </si>
  <si>
    <t>M18</t>
  </si>
  <si>
    <t>M19</t>
  </si>
  <si>
    <t>M20</t>
  </si>
  <si>
    <t>M21</t>
  </si>
  <si>
    <t>Tempo di dialisi</t>
  </si>
  <si>
    <t>Calo Peso(mL)</t>
  </si>
  <si>
    <t>Tpl_tot [IS]</t>
  </si>
  <si>
    <t>Solacea21H</t>
  </si>
  <si>
    <t>Fx100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</si>
</sst>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6064-4700-554F-9405-0949F6A41CF8}">
  <dimension ref="A1:U22"/>
  <sheetViews>
    <sheetView tabSelected="1" zoomScale="136" workbookViewId="0"/>
  </sheetViews>
  <sheetFormatPr baseColWidth="10" defaultRowHeight="16" x14ac:dyDescent="0.2"/>
  <cols>
    <col min="1" max="1" width="10.1640625" customWidth="1"/>
    <col min="2" max="2" width="9.1640625" customWidth="1"/>
    <col min="3" max="3" width="9.6640625" customWidth="1"/>
    <col min="4" max="4" width="8.5" customWidth="1"/>
    <col min="5" max="7" width="9.6640625" customWidth="1"/>
    <col min="8" max="8" width="12.33203125" customWidth="1"/>
    <col min="16" max="16" width="13" customWidth="1"/>
    <col min="18" max="18" width="13.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37</v>
      </c>
      <c r="S1" t="s">
        <v>36</v>
      </c>
      <c r="U1" t="s">
        <v>38</v>
      </c>
    </row>
    <row r="2" spans="1:21" x14ac:dyDescent="0.2">
      <c r="A2" t="s">
        <v>16</v>
      </c>
      <c r="B2">
        <f>17.7*0.25</f>
        <v>4.4249999999999998</v>
      </c>
      <c r="C2">
        <f>17.7-B2</f>
        <v>13.274999999999999</v>
      </c>
      <c r="D2">
        <v>18.600000000000001</v>
      </c>
      <c r="E2">
        <v>307</v>
      </c>
      <c r="F2" s="1">
        <v>109.1324201</v>
      </c>
      <c r="G2">
        <v>500</v>
      </c>
      <c r="H2">
        <f>F2-(R2*1000/S2)</f>
        <v>102.28310503150685</v>
      </c>
      <c r="I2" s="2">
        <v>7.0129999999999999</v>
      </c>
      <c r="J2" s="2">
        <f>U2-I2</f>
        <v>53.564</v>
      </c>
      <c r="K2">
        <v>3.1</v>
      </c>
      <c r="L2" s="3">
        <f>I2</f>
        <v>7.0129999999999999</v>
      </c>
      <c r="M2">
        <f>J2/2</f>
        <v>26.782</v>
      </c>
      <c r="N2">
        <f>K2/2</f>
        <v>1.55</v>
      </c>
      <c r="O2" s="3">
        <f>I2</f>
        <v>7.0129999999999999</v>
      </c>
      <c r="P2" t="s">
        <v>39</v>
      </c>
      <c r="R2">
        <v>1.5</v>
      </c>
      <c r="S2">
        <v>219</v>
      </c>
      <c r="U2" s="2">
        <v>60.576999999999998</v>
      </c>
    </row>
    <row r="3" spans="1:21" x14ac:dyDescent="0.2">
      <c r="A3" t="s">
        <v>17</v>
      </c>
      <c r="B3">
        <f>17*0.25</f>
        <v>4.25</v>
      </c>
      <c r="C3">
        <f>17-B3</f>
        <v>12.75</v>
      </c>
      <c r="D3">
        <v>21.6</v>
      </c>
      <c r="E3">
        <v>314</v>
      </c>
      <c r="F3" s="1">
        <v>95.575221240000005</v>
      </c>
      <c r="G3">
        <v>500</v>
      </c>
      <c r="H3">
        <f t="shared" ref="H3:H21" si="0">F3-(R3*1000/S3)</f>
        <v>81.415929204601781</v>
      </c>
      <c r="I3" s="2">
        <v>7.3959999999999999</v>
      </c>
      <c r="J3" s="2">
        <f t="shared" ref="J3:J21" si="1">U3-I3</f>
        <v>58.099999999999994</v>
      </c>
      <c r="K3">
        <v>3.8</v>
      </c>
      <c r="L3" s="3">
        <f t="shared" ref="L3:L21" si="2">I3</f>
        <v>7.3959999999999999</v>
      </c>
      <c r="M3">
        <f t="shared" ref="M3:M21" si="3">J3/2</f>
        <v>29.049999999999997</v>
      </c>
      <c r="N3">
        <f t="shared" ref="N3:N21" si="4">K3/2</f>
        <v>1.9</v>
      </c>
      <c r="O3" s="3">
        <f t="shared" ref="O3:O21" si="5">I3</f>
        <v>7.3959999999999999</v>
      </c>
      <c r="P3" t="s">
        <v>39</v>
      </c>
      <c r="R3">
        <v>3.2</v>
      </c>
      <c r="S3">
        <v>226</v>
      </c>
      <c r="U3" s="2">
        <v>65.495999999999995</v>
      </c>
    </row>
    <row r="4" spans="1:21" x14ac:dyDescent="0.2">
      <c r="A4" t="s">
        <v>18</v>
      </c>
      <c r="B4">
        <f>21.8*0.25</f>
        <v>5.45</v>
      </c>
      <c r="C4">
        <f>21.8-B4</f>
        <v>16.350000000000001</v>
      </c>
      <c r="D4">
        <v>19.600000000000001</v>
      </c>
      <c r="E4">
        <v>312</v>
      </c>
      <c r="F4" s="1">
        <v>120.5128205</v>
      </c>
      <c r="G4">
        <v>500</v>
      </c>
      <c r="H4">
        <f t="shared" si="0"/>
        <v>108.1196581068376</v>
      </c>
      <c r="I4" s="2">
        <v>4.7850000000000001</v>
      </c>
      <c r="J4" s="2">
        <f t="shared" si="1"/>
        <v>26.890999999999998</v>
      </c>
      <c r="K4">
        <v>3.4</v>
      </c>
      <c r="L4" s="3">
        <f t="shared" si="2"/>
        <v>4.7850000000000001</v>
      </c>
      <c r="M4">
        <f t="shared" si="3"/>
        <v>13.445499999999999</v>
      </c>
      <c r="N4">
        <f t="shared" si="4"/>
        <v>1.7</v>
      </c>
      <c r="O4" s="3">
        <f t="shared" si="5"/>
        <v>4.7850000000000001</v>
      </c>
      <c r="P4" t="s">
        <v>39</v>
      </c>
      <c r="R4">
        <v>2.9</v>
      </c>
      <c r="S4">
        <v>234</v>
      </c>
      <c r="U4" s="2">
        <v>31.675999999999998</v>
      </c>
    </row>
    <row r="5" spans="1:21" x14ac:dyDescent="0.2">
      <c r="A5" t="s">
        <v>19</v>
      </c>
      <c r="B5">
        <f>15*0.25</f>
        <v>3.75</v>
      </c>
      <c r="C5">
        <f>15-B5</f>
        <v>11.25</v>
      </c>
      <c r="D5">
        <v>17.2</v>
      </c>
      <c r="E5">
        <v>291</v>
      </c>
      <c r="F5" s="1">
        <v>81.343283580000005</v>
      </c>
      <c r="G5">
        <v>500</v>
      </c>
      <c r="H5">
        <f t="shared" si="0"/>
        <v>72.636815918308457</v>
      </c>
      <c r="I5" s="2">
        <v>3.6909999999999998</v>
      </c>
      <c r="J5" s="2">
        <f t="shared" si="1"/>
        <v>43.318999999999996</v>
      </c>
      <c r="K5">
        <v>3.8</v>
      </c>
      <c r="L5" s="3">
        <f t="shared" si="2"/>
        <v>3.6909999999999998</v>
      </c>
      <c r="M5">
        <f t="shared" si="3"/>
        <v>21.659499999999998</v>
      </c>
      <c r="N5">
        <f t="shared" si="4"/>
        <v>1.9</v>
      </c>
      <c r="O5" s="3">
        <f t="shared" si="5"/>
        <v>3.6909999999999998</v>
      </c>
      <c r="P5" t="s">
        <v>39</v>
      </c>
      <c r="R5">
        <v>1.75</v>
      </c>
      <c r="S5">
        <v>201</v>
      </c>
      <c r="U5" s="2">
        <v>47.01</v>
      </c>
    </row>
    <row r="6" spans="1:21" x14ac:dyDescent="0.2">
      <c r="A6" t="s">
        <v>20</v>
      </c>
      <c r="B6" s="1">
        <f>16.1*0.25</f>
        <v>4.0250000000000004</v>
      </c>
      <c r="C6" s="1">
        <f>16.1-B6</f>
        <v>12.075000000000001</v>
      </c>
      <c r="D6">
        <v>19.7</v>
      </c>
      <c r="E6">
        <v>294</v>
      </c>
      <c r="F6" s="1">
        <v>95.258620690000001</v>
      </c>
      <c r="G6">
        <v>500</v>
      </c>
      <c r="H6">
        <f t="shared" si="0"/>
        <v>82.327586207241382</v>
      </c>
      <c r="I6" s="2">
        <v>2.3570000000000002</v>
      </c>
      <c r="J6" s="2">
        <f t="shared" si="1"/>
        <v>28.663</v>
      </c>
      <c r="K6">
        <v>3.3</v>
      </c>
      <c r="L6" s="3">
        <f t="shared" si="2"/>
        <v>2.3570000000000002</v>
      </c>
      <c r="M6">
        <f t="shared" si="3"/>
        <v>14.3315</v>
      </c>
      <c r="N6">
        <f t="shared" si="4"/>
        <v>1.65</v>
      </c>
      <c r="O6" s="3">
        <f t="shared" si="5"/>
        <v>2.3570000000000002</v>
      </c>
      <c r="P6" t="s">
        <v>40</v>
      </c>
      <c r="R6">
        <v>3</v>
      </c>
      <c r="S6">
        <v>232</v>
      </c>
      <c r="U6" s="2">
        <v>31.02</v>
      </c>
    </row>
    <row r="7" spans="1:21" x14ac:dyDescent="0.2">
      <c r="A7" t="s">
        <v>21</v>
      </c>
      <c r="B7">
        <f>14.6*0.25</f>
        <v>3.65</v>
      </c>
      <c r="C7">
        <f>14.6-B7</f>
        <v>10.95</v>
      </c>
      <c r="D7">
        <v>14.6</v>
      </c>
      <c r="E7">
        <v>290</v>
      </c>
      <c r="F7" s="1">
        <v>105.45454549999999</v>
      </c>
      <c r="G7">
        <v>500</v>
      </c>
      <c r="H7">
        <f t="shared" si="0"/>
        <v>96.96969701515151</v>
      </c>
      <c r="I7" s="2">
        <v>3.7210000000000001</v>
      </c>
      <c r="J7" s="2">
        <f t="shared" si="1"/>
        <v>30.671000000000003</v>
      </c>
      <c r="K7">
        <v>3</v>
      </c>
      <c r="L7" s="3">
        <f t="shared" si="2"/>
        <v>3.7210000000000001</v>
      </c>
      <c r="M7">
        <f t="shared" si="3"/>
        <v>15.335500000000001</v>
      </c>
      <c r="N7">
        <f t="shared" si="4"/>
        <v>1.5</v>
      </c>
      <c r="O7" s="3">
        <f t="shared" si="5"/>
        <v>3.7210000000000001</v>
      </c>
      <c r="P7" t="s">
        <v>39</v>
      </c>
      <c r="R7">
        <v>1.68</v>
      </c>
      <c r="S7">
        <v>198</v>
      </c>
      <c r="U7" s="2">
        <v>34.392000000000003</v>
      </c>
    </row>
    <row r="8" spans="1:21" x14ac:dyDescent="0.2">
      <c r="A8" t="s">
        <v>22</v>
      </c>
      <c r="B8">
        <f>17.2*0.25</f>
        <v>4.3</v>
      </c>
      <c r="C8">
        <f>17.2-B8</f>
        <v>12.899999999999999</v>
      </c>
      <c r="D8">
        <v>17.5</v>
      </c>
      <c r="E8">
        <v>286</v>
      </c>
      <c r="F8" s="1">
        <v>89.565217390000001</v>
      </c>
      <c r="G8">
        <v>500</v>
      </c>
      <c r="H8">
        <f t="shared" si="0"/>
        <v>77.826086955217392</v>
      </c>
      <c r="I8" s="2">
        <v>5.7969999999999997</v>
      </c>
      <c r="J8" s="2">
        <f t="shared" si="1"/>
        <v>42.615000000000002</v>
      </c>
      <c r="K8">
        <v>3.4</v>
      </c>
      <c r="L8" s="3">
        <f t="shared" si="2"/>
        <v>5.7969999999999997</v>
      </c>
      <c r="M8">
        <f t="shared" si="3"/>
        <v>21.307500000000001</v>
      </c>
      <c r="N8">
        <f t="shared" si="4"/>
        <v>1.7</v>
      </c>
      <c r="O8" s="3">
        <f t="shared" si="5"/>
        <v>5.7969999999999997</v>
      </c>
      <c r="P8" t="s">
        <v>40</v>
      </c>
      <c r="R8">
        <v>2.7</v>
      </c>
      <c r="S8">
        <v>230</v>
      </c>
      <c r="U8" s="2">
        <v>48.411999999999999</v>
      </c>
    </row>
    <row r="9" spans="1:21" x14ac:dyDescent="0.2">
      <c r="A9" t="s">
        <v>23</v>
      </c>
      <c r="B9">
        <f>15.6*0.25</f>
        <v>3.9</v>
      </c>
      <c r="C9">
        <f>15.6-B9</f>
        <v>11.7</v>
      </c>
      <c r="D9">
        <v>14.1</v>
      </c>
      <c r="E9">
        <v>291</v>
      </c>
      <c r="F9" s="1">
        <v>90.131004369999999</v>
      </c>
      <c r="G9">
        <v>500</v>
      </c>
      <c r="H9">
        <f t="shared" si="0"/>
        <v>81.659388649475986</v>
      </c>
      <c r="I9" s="2">
        <v>5.8929999999999998</v>
      </c>
      <c r="J9" s="2">
        <f t="shared" si="1"/>
        <v>24.323</v>
      </c>
      <c r="K9">
        <v>3.5</v>
      </c>
      <c r="L9" s="3">
        <f t="shared" si="2"/>
        <v>5.8929999999999998</v>
      </c>
      <c r="M9">
        <f t="shared" si="3"/>
        <v>12.1615</v>
      </c>
      <c r="N9">
        <f t="shared" si="4"/>
        <v>1.75</v>
      </c>
      <c r="O9" s="3">
        <f t="shared" si="5"/>
        <v>5.8929999999999998</v>
      </c>
      <c r="P9" t="s">
        <v>40</v>
      </c>
      <c r="R9">
        <v>1.94</v>
      </c>
      <c r="S9">
        <v>229</v>
      </c>
      <c r="U9" s="2">
        <v>30.216000000000001</v>
      </c>
    </row>
    <row r="10" spans="1:21" x14ac:dyDescent="0.2">
      <c r="A10" t="s">
        <v>24</v>
      </c>
      <c r="B10">
        <f>18.4*0.25</f>
        <v>4.5999999999999996</v>
      </c>
      <c r="C10">
        <f>18.4-B10</f>
        <v>13.799999999999999</v>
      </c>
      <c r="D10">
        <v>18.100000000000001</v>
      </c>
      <c r="E10">
        <v>296</v>
      </c>
      <c r="F10" s="1">
        <v>84.848484850000006</v>
      </c>
      <c r="G10">
        <v>500</v>
      </c>
      <c r="H10">
        <f t="shared" si="0"/>
        <v>77.056277057792215</v>
      </c>
      <c r="I10" s="2">
        <v>0.40200000000000002</v>
      </c>
      <c r="J10" s="2">
        <f t="shared" si="1"/>
        <v>12.281000000000001</v>
      </c>
      <c r="K10">
        <v>4</v>
      </c>
      <c r="L10" s="3">
        <f t="shared" si="2"/>
        <v>0.40200000000000002</v>
      </c>
      <c r="M10">
        <f t="shared" si="3"/>
        <v>6.1405000000000003</v>
      </c>
      <c r="N10">
        <f t="shared" si="4"/>
        <v>2</v>
      </c>
      <c r="O10" s="3">
        <f t="shared" si="5"/>
        <v>0.40200000000000002</v>
      </c>
      <c r="P10" t="s">
        <v>40</v>
      </c>
      <c r="R10">
        <v>1.8</v>
      </c>
      <c r="S10">
        <v>231</v>
      </c>
      <c r="U10" s="2">
        <v>12.683</v>
      </c>
    </row>
    <row r="11" spans="1:21" x14ac:dyDescent="0.2">
      <c r="A11" t="s">
        <v>25</v>
      </c>
      <c r="B11">
        <f>17.5*0.25</f>
        <v>4.375</v>
      </c>
      <c r="C11">
        <f>17.5-B11</f>
        <v>13.125</v>
      </c>
      <c r="D11">
        <v>24.3</v>
      </c>
      <c r="E11">
        <v>298</v>
      </c>
      <c r="F11" s="1">
        <v>117.8723404</v>
      </c>
      <c r="G11">
        <v>500</v>
      </c>
      <c r="H11">
        <f t="shared" si="0"/>
        <v>113.19148933617021</v>
      </c>
      <c r="I11" s="2">
        <v>4.2510000000000003</v>
      </c>
      <c r="J11" s="2">
        <f t="shared" si="1"/>
        <v>39.699000000000005</v>
      </c>
      <c r="K11">
        <v>3.8</v>
      </c>
      <c r="L11" s="3">
        <f t="shared" si="2"/>
        <v>4.2510000000000003</v>
      </c>
      <c r="M11">
        <f t="shared" si="3"/>
        <v>19.849500000000003</v>
      </c>
      <c r="N11">
        <f t="shared" si="4"/>
        <v>1.9</v>
      </c>
      <c r="O11" s="3">
        <f t="shared" si="5"/>
        <v>4.2510000000000003</v>
      </c>
      <c r="P11" t="s">
        <v>39</v>
      </c>
      <c r="R11">
        <v>1.1000000000000001</v>
      </c>
      <c r="S11">
        <v>235</v>
      </c>
      <c r="U11" s="2">
        <v>43.95</v>
      </c>
    </row>
    <row r="12" spans="1:21" x14ac:dyDescent="0.2">
      <c r="A12" t="s">
        <v>26</v>
      </c>
      <c r="B12">
        <f>16.2*0.25</f>
        <v>4.05</v>
      </c>
      <c r="C12">
        <f>16.2-B12</f>
        <v>12.149999999999999</v>
      </c>
      <c r="D12">
        <v>15.3</v>
      </c>
      <c r="E12">
        <v>294</v>
      </c>
      <c r="F12" s="1">
        <v>71.568627449999994</v>
      </c>
      <c r="G12">
        <v>500</v>
      </c>
      <c r="H12">
        <f t="shared" si="0"/>
        <v>59.313725489215678</v>
      </c>
      <c r="I12" s="2">
        <v>5.7210000000000001</v>
      </c>
      <c r="J12" s="2">
        <f t="shared" si="1"/>
        <v>33.566000000000003</v>
      </c>
      <c r="K12">
        <v>3.3</v>
      </c>
      <c r="L12" s="3">
        <f t="shared" si="2"/>
        <v>5.7210000000000001</v>
      </c>
      <c r="M12">
        <f t="shared" si="3"/>
        <v>16.783000000000001</v>
      </c>
      <c r="N12">
        <f t="shared" si="4"/>
        <v>1.65</v>
      </c>
      <c r="O12" s="3">
        <f t="shared" si="5"/>
        <v>5.7210000000000001</v>
      </c>
      <c r="P12" t="s">
        <v>40</v>
      </c>
      <c r="R12">
        <v>2.5</v>
      </c>
      <c r="S12">
        <v>204</v>
      </c>
      <c r="U12" s="2">
        <v>39.286999999999999</v>
      </c>
    </row>
    <row r="13" spans="1:21" x14ac:dyDescent="0.2">
      <c r="A13" t="s">
        <v>27</v>
      </c>
      <c r="B13">
        <f>22*0.25</f>
        <v>5.5</v>
      </c>
      <c r="C13">
        <f>22-B13</f>
        <v>16.5</v>
      </c>
      <c r="D13">
        <v>19</v>
      </c>
      <c r="E13">
        <v>295</v>
      </c>
      <c r="F13" s="1">
        <v>96.551724140000005</v>
      </c>
      <c r="G13">
        <v>500</v>
      </c>
      <c r="H13">
        <f t="shared" si="0"/>
        <v>81.465517243448275</v>
      </c>
      <c r="I13" s="2">
        <v>2.2229999999999999</v>
      </c>
      <c r="J13" s="2">
        <f t="shared" si="1"/>
        <v>28.811</v>
      </c>
      <c r="K13">
        <v>3.2</v>
      </c>
      <c r="L13" s="3">
        <f t="shared" si="2"/>
        <v>2.2229999999999999</v>
      </c>
      <c r="M13">
        <f t="shared" si="3"/>
        <v>14.4055</v>
      </c>
      <c r="N13">
        <f t="shared" si="4"/>
        <v>1.6</v>
      </c>
      <c r="O13" s="3">
        <f t="shared" si="5"/>
        <v>2.2229999999999999</v>
      </c>
      <c r="P13" t="s">
        <v>40</v>
      </c>
      <c r="R13">
        <v>3.5</v>
      </c>
      <c r="S13">
        <v>232</v>
      </c>
      <c r="U13" s="2">
        <v>31.033999999999999</v>
      </c>
    </row>
    <row r="14" spans="1:21" x14ac:dyDescent="0.2">
      <c r="A14" t="s">
        <v>28</v>
      </c>
      <c r="B14">
        <f>14.9*0.25</f>
        <v>3.7250000000000001</v>
      </c>
      <c r="C14">
        <f>14.9-B14</f>
        <v>11.175000000000001</v>
      </c>
      <c r="D14">
        <v>15.1</v>
      </c>
      <c r="E14">
        <v>289</v>
      </c>
      <c r="F14" s="1">
        <v>115.0214592</v>
      </c>
      <c r="G14">
        <v>500</v>
      </c>
      <c r="H14">
        <f t="shared" si="0"/>
        <v>108.15450641030043</v>
      </c>
      <c r="I14" s="2">
        <v>6.8070000000000004</v>
      </c>
      <c r="J14" s="2">
        <f t="shared" si="1"/>
        <v>44.217999999999996</v>
      </c>
      <c r="K14">
        <v>3.8</v>
      </c>
      <c r="L14" s="3">
        <f t="shared" si="2"/>
        <v>6.8070000000000004</v>
      </c>
      <c r="M14">
        <f t="shared" si="3"/>
        <v>22.108999999999998</v>
      </c>
      <c r="N14">
        <f t="shared" si="4"/>
        <v>1.9</v>
      </c>
      <c r="O14" s="3">
        <f t="shared" si="5"/>
        <v>6.8070000000000004</v>
      </c>
      <c r="P14" t="s">
        <v>40</v>
      </c>
      <c r="R14">
        <v>1.6</v>
      </c>
      <c r="S14">
        <v>233</v>
      </c>
      <c r="U14" s="2">
        <v>51.024999999999999</v>
      </c>
    </row>
    <row r="15" spans="1:21" x14ac:dyDescent="0.2">
      <c r="A15" t="s">
        <v>29</v>
      </c>
      <c r="B15">
        <f>12.6*0.25</f>
        <v>3.15</v>
      </c>
      <c r="C15">
        <f>12.6-B15</f>
        <v>9.4499999999999993</v>
      </c>
      <c r="D15">
        <v>12.6</v>
      </c>
      <c r="E15">
        <v>290</v>
      </c>
      <c r="F15" s="1">
        <v>102.955665</v>
      </c>
      <c r="G15">
        <v>500</v>
      </c>
      <c r="H15">
        <f t="shared" si="0"/>
        <v>95.07389160098522</v>
      </c>
      <c r="I15" s="2">
        <v>4.9779999999999998</v>
      </c>
      <c r="J15" s="2">
        <f t="shared" si="1"/>
        <v>36.787999999999997</v>
      </c>
      <c r="K15">
        <v>2.9</v>
      </c>
      <c r="L15" s="3">
        <f t="shared" si="2"/>
        <v>4.9779999999999998</v>
      </c>
      <c r="M15">
        <f t="shared" si="3"/>
        <v>18.393999999999998</v>
      </c>
      <c r="N15">
        <f t="shared" si="4"/>
        <v>1.45</v>
      </c>
      <c r="O15" s="3">
        <f t="shared" si="5"/>
        <v>4.9779999999999998</v>
      </c>
      <c r="P15" t="s">
        <v>40</v>
      </c>
      <c r="R15">
        <v>1.6</v>
      </c>
      <c r="S15">
        <v>203</v>
      </c>
      <c r="U15" s="2">
        <v>41.765999999999998</v>
      </c>
    </row>
    <row r="16" spans="1:21" x14ac:dyDescent="0.2">
      <c r="A16" t="s">
        <v>30</v>
      </c>
      <c r="B16">
        <f>18*0.25</f>
        <v>4.5</v>
      </c>
      <c r="C16">
        <f>18-B16</f>
        <v>13.5</v>
      </c>
      <c r="D16">
        <v>19.7</v>
      </c>
      <c r="E16">
        <v>293</v>
      </c>
      <c r="F16" s="1">
        <v>81.115879829999997</v>
      </c>
      <c r="G16">
        <v>500</v>
      </c>
      <c r="H16">
        <f t="shared" si="0"/>
        <v>70.815450645450639</v>
      </c>
      <c r="I16" s="2">
        <v>5.6020000000000003</v>
      </c>
      <c r="J16" s="2">
        <f t="shared" si="1"/>
        <v>56.188999999999993</v>
      </c>
      <c r="K16">
        <v>3.7</v>
      </c>
      <c r="L16" s="3">
        <f t="shared" si="2"/>
        <v>5.6020000000000003</v>
      </c>
      <c r="M16">
        <f t="shared" si="3"/>
        <v>28.094499999999996</v>
      </c>
      <c r="N16">
        <f t="shared" si="4"/>
        <v>1.85</v>
      </c>
      <c r="O16" s="3">
        <f t="shared" si="5"/>
        <v>5.6020000000000003</v>
      </c>
      <c r="P16" t="s">
        <v>40</v>
      </c>
      <c r="R16">
        <v>2.4</v>
      </c>
      <c r="S16">
        <v>233</v>
      </c>
      <c r="U16" s="2">
        <v>61.790999999999997</v>
      </c>
    </row>
    <row r="17" spans="1:21" x14ac:dyDescent="0.2">
      <c r="A17" t="s">
        <v>31</v>
      </c>
      <c r="B17">
        <f>15.2*0.25</f>
        <v>3.8</v>
      </c>
      <c r="C17">
        <f>15.2-B17</f>
        <v>11.399999999999999</v>
      </c>
      <c r="D17">
        <v>15.3</v>
      </c>
      <c r="E17">
        <v>313</v>
      </c>
      <c r="F17" s="1">
        <v>104.74137930000001</v>
      </c>
      <c r="G17">
        <v>500</v>
      </c>
      <c r="H17">
        <f t="shared" si="0"/>
        <v>95.689655162068973</v>
      </c>
      <c r="I17" s="2">
        <v>5.6749999999999998</v>
      </c>
      <c r="J17" s="2">
        <f t="shared" si="1"/>
        <v>51.682000000000002</v>
      </c>
      <c r="K17">
        <v>4.2</v>
      </c>
      <c r="L17" s="3">
        <f t="shared" si="2"/>
        <v>5.6749999999999998</v>
      </c>
      <c r="M17">
        <f t="shared" si="3"/>
        <v>25.841000000000001</v>
      </c>
      <c r="N17">
        <f t="shared" si="4"/>
        <v>2.1</v>
      </c>
      <c r="O17" s="3">
        <f t="shared" si="5"/>
        <v>5.6749999999999998</v>
      </c>
      <c r="P17" t="s">
        <v>40</v>
      </c>
      <c r="R17">
        <v>2.1</v>
      </c>
      <c r="S17">
        <v>232</v>
      </c>
      <c r="U17" s="2">
        <v>57.356999999999999</v>
      </c>
    </row>
    <row r="18" spans="1:21" x14ac:dyDescent="0.2">
      <c r="A18" t="s">
        <v>32</v>
      </c>
      <c r="B18">
        <f>14.9*0.25</f>
        <v>3.7250000000000001</v>
      </c>
      <c r="C18">
        <f>14.9-B18</f>
        <v>11.175000000000001</v>
      </c>
      <c r="D18">
        <v>15.5</v>
      </c>
      <c r="E18">
        <v>271</v>
      </c>
      <c r="F18" s="1">
        <v>80.972222220000006</v>
      </c>
      <c r="G18">
        <v>500</v>
      </c>
      <c r="H18">
        <f t="shared" si="0"/>
        <v>67.592592590370373</v>
      </c>
      <c r="I18" s="2">
        <v>2.835</v>
      </c>
      <c r="J18" s="2">
        <f t="shared" si="1"/>
        <v>30.173000000000002</v>
      </c>
      <c r="K18">
        <v>3.6</v>
      </c>
      <c r="L18" s="3">
        <f t="shared" si="2"/>
        <v>2.835</v>
      </c>
      <c r="M18">
        <f t="shared" si="3"/>
        <v>15.086500000000001</v>
      </c>
      <c r="N18">
        <f t="shared" si="4"/>
        <v>1.8</v>
      </c>
      <c r="O18" s="3">
        <f t="shared" si="5"/>
        <v>2.835</v>
      </c>
      <c r="P18" t="s">
        <v>39</v>
      </c>
      <c r="R18">
        <v>2.89</v>
      </c>
      <c r="S18">
        <v>216</v>
      </c>
      <c r="U18" s="2">
        <v>33.008000000000003</v>
      </c>
    </row>
    <row r="19" spans="1:21" x14ac:dyDescent="0.2">
      <c r="A19" t="s">
        <v>33</v>
      </c>
      <c r="B19">
        <f>14.7*0.25</f>
        <v>3.6749999999999998</v>
      </c>
      <c r="C19">
        <f>14.7-B19</f>
        <v>11.024999999999999</v>
      </c>
      <c r="D19">
        <v>15.3</v>
      </c>
      <c r="E19">
        <v>280</v>
      </c>
      <c r="F19" s="1">
        <v>96.1038961</v>
      </c>
      <c r="G19">
        <v>500</v>
      </c>
      <c r="H19">
        <f t="shared" si="0"/>
        <v>83.54978354588745</v>
      </c>
      <c r="I19" s="2">
        <v>3.0529999999999999</v>
      </c>
      <c r="J19" s="2">
        <f t="shared" si="1"/>
        <v>36.621000000000002</v>
      </c>
      <c r="K19">
        <v>3.7</v>
      </c>
      <c r="L19" s="3">
        <f t="shared" si="2"/>
        <v>3.0529999999999999</v>
      </c>
      <c r="M19">
        <f t="shared" si="3"/>
        <v>18.310500000000001</v>
      </c>
      <c r="N19">
        <f t="shared" si="4"/>
        <v>1.85</v>
      </c>
      <c r="O19" s="3">
        <f t="shared" si="5"/>
        <v>3.0529999999999999</v>
      </c>
      <c r="P19" t="s">
        <v>39</v>
      </c>
      <c r="R19">
        <v>2.9</v>
      </c>
      <c r="S19">
        <v>231</v>
      </c>
      <c r="U19" s="2">
        <v>39.673999999999999</v>
      </c>
    </row>
    <row r="20" spans="1:21" x14ac:dyDescent="0.2">
      <c r="A20" t="s">
        <v>34</v>
      </c>
      <c r="B20">
        <f>16.8*0.25</f>
        <v>4.2</v>
      </c>
      <c r="C20">
        <f>16.8-B20</f>
        <v>12.600000000000001</v>
      </c>
      <c r="D20">
        <v>18.7</v>
      </c>
      <c r="E20">
        <v>294</v>
      </c>
      <c r="F20" s="1">
        <v>106.3876652</v>
      </c>
      <c r="G20">
        <v>500</v>
      </c>
      <c r="H20">
        <f t="shared" si="0"/>
        <v>92.951541851982384</v>
      </c>
      <c r="I20" s="2">
        <v>2.8130000000000002</v>
      </c>
      <c r="J20" s="2">
        <f t="shared" si="1"/>
        <v>35.916999999999994</v>
      </c>
      <c r="K20">
        <v>3.5</v>
      </c>
      <c r="L20" s="3">
        <f t="shared" si="2"/>
        <v>2.8130000000000002</v>
      </c>
      <c r="M20">
        <f t="shared" si="3"/>
        <v>17.958499999999997</v>
      </c>
      <c r="N20">
        <f t="shared" si="4"/>
        <v>1.75</v>
      </c>
      <c r="O20" s="3">
        <f t="shared" si="5"/>
        <v>2.8130000000000002</v>
      </c>
      <c r="P20" t="s">
        <v>39</v>
      </c>
      <c r="R20">
        <v>3.05</v>
      </c>
      <c r="S20">
        <v>227</v>
      </c>
      <c r="U20" s="2">
        <v>38.729999999999997</v>
      </c>
    </row>
    <row r="21" spans="1:21" x14ac:dyDescent="0.2">
      <c r="A21" t="s">
        <v>35</v>
      </c>
      <c r="B21">
        <f>18.3*0.25</f>
        <v>4.5750000000000002</v>
      </c>
      <c r="C21">
        <f>18.3-B21</f>
        <v>13.725000000000001</v>
      </c>
      <c r="D21">
        <v>18.600000000000001</v>
      </c>
      <c r="E21">
        <v>296</v>
      </c>
      <c r="F21" s="1">
        <v>97.435897440000005</v>
      </c>
      <c r="G21">
        <v>500</v>
      </c>
      <c r="H21">
        <f t="shared" si="0"/>
        <v>89.316239320341879</v>
      </c>
      <c r="I21" s="2">
        <v>1.151</v>
      </c>
      <c r="J21" s="2">
        <f t="shared" si="1"/>
        <v>12.776</v>
      </c>
      <c r="K21">
        <v>3.9</v>
      </c>
      <c r="L21" s="3">
        <f t="shared" si="2"/>
        <v>1.151</v>
      </c>
      <c r="M21">
        <f t="shared" si="3"/>
        <v>6.3879999999999999</v>
      </c>
      <c r="N21">
        <f t="shared" si="4"/>
        <v>1.95</v>
      </c>
      <c r="O21" s="3">
        <f t="shared" si="5"/>
        <v>1.151</v>
      </c>
      <c r="P21" t="s">
        <v>39</v>
      </c>
      <c r="R21">
        <v>1.9</v>
      </c>
      <c r="S21">
        <v>234</v>
      </c>
      <c r="U21" s="2">
        <v>13.927</v>
      </c>
    </row>
    <row r="22" spans="1:21" x14ac:dyDescent="0.2">
      <c r="F22" s="1"/>
      <c r="I22" s="3"/>
      <c r="J22" s="3"/>
      <c r="L22" s="3"/>
      <c r="O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Migliore  Nicolo</dc:creator>
  <cp:lastModifiedBy>Migliore  Nicolo</cp:lastModifiedBy>
  <dcterms:created xsi:type="dcterms:W3CDTF">2025-12-28T16:47:02Z</dcterms:created>
  <dcterms:modified xsi:type="dcterms:W3CDTF">2026-03-03T10:12:59Z</dcterms:modified>
</cp:coreProperties>
</file>